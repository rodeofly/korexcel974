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FORMATIONS R2" sheetId="1" r:id="rId4"/>
    <sheet state="visible" name="Exo 01" sheetId="2" r:id="rId5"/>
    <sheet state="visible" name="Exo 02" sheetId="3" r:id="rId6"/>
    <sheet state="visible" name="Exo 03" sheetId="4" r:id="rId7"/>
    <sheet state="visible" name="Exo 04" sheetId="5" r:id="rId8"/>
    <sheet state="visible" name="Exo 05" sheetId="6" r:id="rId9"/>
    <sheet state="visible" name="Exo 05 - Pièces" sheetId="7" r:id="rId10"/>
    <sheet state="visible" name="Exo 05 - Clients" sheetId="8" r:id="rId11"/>
  </sheets>
  <definedNames>
    <definedName name="pieces">'Exo 05 - Pièces'!$B$4:$E$53</definedName>
    <definedName name="clients">'Exo 05 - Clients'!$B$6:$E$30</definedName>
  </definedNames>
  <calcPr/>
  <extLst>
    <ext uri="GoogleSheetsCustomDataVersion2">
      <go:sheetsCustomData xmlns:go="http://customooxmlschemas.google.com/" r:id="rId12" roundtripDataChecksum="xOgBaPB7eB70cOjS5KVgy/tWdtav+JD9zPvvhZ65dVo="/>
    </ext>
  </extLst>
</workbook>
</file>

<file path=xl/sharedStrings.xml><?xml version="1.0" encoding="utf-8"?>
<sst xmlns="http://schemas.openxmlformats.org/spreadsheetml/2006/main" count="490" uniqueCount="444">
  <si>
    <t>MERCI DE COMPLETER LES INFORMATIONS :</t>
  </si>
  <si>
    <t>Numéro étudiant :</t>
  </si>
  <si>
    <t>Nom de famille :</t>
  </si>
  <si>
    <t>Prénom :</t>
  </si>
  <si>
    <t xml:space="preserve">Groupe : </t>
  </si>
  <si>
    <t>VENTES PAR MAGASINS ET PAR TRIMESTRE</t>
  </si>
  <si>
    <t>Un employé gère un point de vente dans chacune des villes suivantes. Il est nécessaire de récompenser le meilleur.</t>
  </si>
  <si>
    <t>Ville</t>
  </si>
  <si>
    <t>Trim. 1</t>
  </si>
  <si>
    <t>Trim. 2</t>
  </si>
  <si>
    <t>Trim 3.</t>
  </si>
  <si>
    <t>Trim. 4</t>
  </si>
  <si>
    <t>Total Ville</t>
  </si>
  <si>
    <t>Moyenne
par magasin</t>
  </si>
  <si>
    <t>CA Min.</t>
  </si>
  <si>
    <t>CA Max.</t>
  </si>
  <si>
    <t>Part du CA</t>
  </si>
  <si>
    <t>St Denis</t>
  </si>
  <si>
    <t>Tampon</t>
  </si>
  <si>
    <t>St Pierre</t>
  </si>
  <si>
    <t>Entre Deux</t>
  </si>
  <si>
    <t>St Joseph</t>
  </si>
  <si>
    <t>St Louis</t>
  </si>
  <si>
    <t>Cilaos</t>
  </si>
  <si>
    <t>St Philippe</t>
  </si>
  <si>
    <t>Ste Anne</t>
  </si>
  <si>
    <t>Bras Panon</t>
  </si>
  <si>
    <t>Total Trimestre :</t>
  </si>
  <si>
    <t>Vente la plus faible :</t>
  </si>
  <si>
    <t>Vente la plus forte :</t>
  </si>
  <si>
    <t>Moyenne des ventes :</t>
  </si>
  <si>
    <t>Ecart Type :</t>
  </si>
  <si>
    <t>EXERCICE : effectuer les calculs en utilisant les bonnes formules</t>
  </si>
  <si>
    <t>Explication</t>
  </si>
  <si>
    <t>Valeurs ou formule</t>
  </si>
  <si>
    <t>Montant initial de l’emprunt :</t>
  </si>
  <si>
    <t>Nombre d’années :</t>
  </si>
  <si>
    <r>
      <rPr>
        <rFont val="Arial"/>
        <b/>
        <color theme="1"/>
        <sz val="10.0"/>
        <u/>
      </rPr>
      <t>EXERCICE</t>
    </r>
    <r>
      <rPr>
        <rFont val="Arial"/>
        <b val="0"/>
        <color theme="1"/>
        <sz val="10.0"/>
        <u/>
      </rPr>
      <t xml:space="preserve"> : compléter les cellules de la colonne B avec les valeurs manquantes puis effectuer le calcul en utilisant la bonne formule financière. Mettre au format monétaire les champs correspondants et afficher les taux avec deux chiffres après la virgule. J'emprunte 130000 € pendant 10 ans à un taux d'intérêt annuel constant de 5,5%. Combien dois-je rembourser tous les mois ?</t>
    </r>
  </si>
  <si>
    <t>Taux annuel :</t>
  </si>
  <si>
    <t xml:space="preserve">Montant du remboursement mensuel : </t>
  </si>
  <si>
    <t>VARIATION DU CA</t>
  </si>
  <si>
    <t>Variation</t>
  </si>
  <si>
    <t>Janvier</t>
  </si>
  <si>
    <t>Février</t>
  </si>
  <si>
    <t>Mars</t>
  </si>
  <si>
    <t>Avril</t>
  </si>
  <si>
    <t>Mai</t>
  </si>
  <si>
    <t>EXERCICE : calculer la variation du CA</t>
  </si>
  <si>
    <t>Juin</t>
  </si>
  <si>
    <t>Juillet</t>
  </si>
  <si>
    <t>Août</t>
  </si>
  <si>
    <t>Septembre</t>
  </si>
  <si>
    <t>Octobre</t>
  </si>
  <si>
    <t>Novembre</t>
  </si>
  <si>
    <t>Décembre</t>
  </si>
  <si>
    <t>Total</t>
  </si>
  <si>
    <t>2024-2025 Liste des étudiants de L3 DROIT</t>
  </si>
  <si>
    <t>Numéro</t>
  </si>
  <si>
    <t>Nom</t>
  </si>
  <si>
    <t>Prénom</t>
  </si>
  <si>
    <t>Note</t>
  </si>
  <si>
    <t>Admis ou Ajourné</t>
  </si>
  <si>
    <t>CATIGA</t>
  </si>
  <si>
    <t>ORNELLA</t>
  </si>
  <si>
    <t>LEFRANC</t>
  </si>
  <si>
    <t>LAITICIA</t>
  </si>
  <si>
    <t>SAMY</t>
  </si>
  <si>
    <t>AURELIE</t>
  </si>
  <si>
    <t>EXERCICE : afficher dans la colonne E, soit "Admis", soit "Ajourné" en utilisant la fonction SI</t>
  </si>
  <si>
    <t>KUMAR</t>
  </si>
  <si>
    <t>LAURIE</t>
  </si>
  <si>
    <t>BOYER</t>
  </si>
  <si>
    <t>LEANE</t>
  </si>
  <si>
    <t>HARITHI</t>
  </si>
  <si>
    <t>XAVIER</t>
  </si>
  <si>
    <t>CUVELIER</t>
  </si>
  <si>
    <t>KISHA</t>
  </si>
  <si>
    <t>CILLIER</t>
  </si>
  <si>
    <t>MICHEL</t>
  </si>
  <si>
    <t>OUMAR</t>
  </si>
  <si>
    <t>MARIE</t>
  </si>
  <si>
    <t>MUCY</t>
  </si>
  <si>
    <t>ADRIEN</t>
  </si>
  <si>
    <t>SAUTRON</t>
  </si>
  <si>
    <t>RAMA</t>
  </si>
  <si>
    <t>PERFILLON</t>
  </si>
  <si>
    <t>FLORANE</t>
  </si>
  <si>
    <t>AINAROU-CAVERY</t>
  </si>
  <si>
    <t>DIANA</t>
  </si>
  <si>
    <t>SAIDALI</t>
  </si>
  <si>
    <t>KOUSSOULMY</t>
  </si>
  <si>
    <t>RIGAUDIN</t>
  </si>
  <si>
    <t>SAMAL</t>
  </si>
  <si>
    <t>DAEVY</t>
  </si>
  <si>
    <t>DI GALLO</t>
  </si>
  <si>
    <t>ICHAM</t>
  </si>
  <si>
    <t>NUBOOTHEA</t>
  </si>
  <si>
    <t>CECILE</t>
  </si>
  <si>
    <t>BARDEUR</t>
  </si>
  <si>
    <t>LUCIA</t>
  </si>
  <si>
    <t>JAURES</t>
  </si>
  <si>
    <t>GUILLAUME</t>
  </si>
  <si>
    <t>MITHRA</t>
  </si>
  <si>
    <t>AUDREY</t>
  </si>
  <si>
    <t>HUET</t>
  </si>
  <si>
    <t>HAYTHOUNI</t>
  </si>
  <si>
    <t>SOUPOU</t>
  </si>
  <si>
    <t>OCEANE</t>
  </si>
  <si>
    <t>LECLAIR</t>
  </si>
  <si>
    <t>NATHANAELLE</t>
  </si>
  <si>
    <t>SISAHAYE</t>
  </si>
  <si>
    <t>LEA</t>
  </si>
  <si>
    <t>ROBERT</t>
  </si>
  <si>
    <t>EMMANUEL</t>
  </si>
  <si>
    <t>PAILLET</t>
  </si>
  <si>
    <t>DJASSIME</t>
  </si>
  <si>
    <t>PIGNOLET</t>
  </si>
  <si>
    <t>MARIE-EMILIE</t>
  </si>
  <si>
    <t>TREPORT</t>
  </si>
  <si>
    <t>SAMUEL</t>
  </si>
  <si>
    <t>NALLAMOUTOU</t>
  </si>
  <si>
    <t>HORTENSIA</t>
  </si>
  <si>
    <t>HUGUET</t>
  </si>
  <si>
    <t>PAUL</t>
  </si>
  <si>
    <t>HOAREAU</t>
  </si>
  <si>
    <t>KARIMA</t>
  </si>
  <si>
    <t>DEVIER</t>
  </si>
  <si>
    <t>MORIA</t>
  </si>
  <si>
    <t>CALY SIMBOU GAILLAC</t>
  </si>
  <si>
    <t>ANAIS</t>
  </si>
  <si>
    <t>RUDLOFF</t>
  </si>
  <si>
    <t>TSILAH</t>
  </si>
  <si>
    <t>LESQUELIN</t>
  </si>
  <si>
    <t>BAPTISTE</t>
  </si>
  <si>
    <t>IBRAHIM</t>
  </si>
  <si>
    <t>JULIE</t>
  </si>
  <si>
    <t>SINAN</t>
  </si>
  <si>
    <t>CAMILLE</t>
  </si>
  <si>
    <t>MODULE</t>
  </si>
  <si>
    <t>MAELLE</t>
  </si>
  <si>
    <t>TECHER</t>
  </si>
  <si>
    <t>IMANE</t>
  </si>
  <si>
    <t>NOEL</t>
  </si>
  <si>
    <t>LALITA</t>
  </si>
  <si>
    <t>SAID HAMADI</t>
  </si>
  <si>
    <t>FARZATI</t>
  </si>
  <si>
    <t>BADAT</t>
  </si>
  <si>
    <t>FAYZA</t>
  </si>
  <si>
    <t>VAYERATTA</t>
  </si>
  <si>
    <t>MARIAM</t>
  </si>
  <si>
    <t>LUCAS</t>
  </si>
  <si>
    <t>ANDRE</t>
  </si>
  <si>
    <t>OUARDA</t>
  </si>
  <si>
    <t>NARAYANAPOULLE</t>
  </si>
  <si>
    <t>ARZAC BOURIGAULT</t>
  </si>
  <si>
    <t>CERISE</t>
  </si>
  <si>
    <t>MOHAMED</t>
  </si>
  <si>
    <t>STANLEY</t>
  </si>
  <si>
    <t>ALAGAMA</t>
  </si>
  <si>
    <t>CHARFIA</t>
  </si>
  <si>
    <t>VINGUEDASSALOM</t>
  </si>
  <si>
    <t>AMELIA</t>
  </si>
  <si>
    <t>GADIA</t>
  </si>
  <si>
    <t>ALEXANDRE</t>
  </si>
  <si>
    <t>BERTILLE</t>
  </si>
  <si>
    <t>LORENZA</t>
  </si>
  <si>
    <t>KONDOKI</t>
  </si>
  <si>
    <t>CHANFI</t>
  </si>
  <si>
    <t>DANY</t>
  </si>
  <si>
    <t>TOYBOU</t>
  </si>
  <si>
    <t>KEHANN</t>
  </si>
  <si>
    <t>MAHAVANDE</t>
  </si>
  <si>
    <t>NASSER</t>
  </si>
  <si>
    <t>THOULON</t>
  </si>
  <si>
    <t>LAURYNE</t>
  </si>
  <si>
    <t>APAYA MALATCHIMY</t>
  </si>
  <si>
    <t>SEVERINE</t>
  </si>
  <si>
    <t>EUPHROSINE</t>
  </si>
  <si>
    <t>YANIS</t>
  </si>
  <si>
    <t>CHOLAN</t>
  </si>
  <si>
    <t>RABOZAKA</t>
  </si>
  <si>
    <t>NANIE DOLLA</t>
  </si>
  <si>
    <t>NELAUPE</t>
  </si>
  <si>
    <t>NAOMI</t>
  </si>
  <si>
    <t>MOUROUGAMA</t>
  </si>
  <si>
    <t>RYAN</t>
  </si>
  <si>
    <t>CHANE LEONG</t>
  </si>
  <si>
    <t>SORENZA</t>
  </si>
  <si>
    <t>FIN</t>
  </si>
  <si>
    <t>AKIBATI</t>
  </si>
  <si>
    <t>BEGUE</t>
  </si>
  <si>
    <t>MARIE MAGALIE</t>
  </si>
  <si>
    <t>LATCHIMY</t>
  </si>
  <si>
    <t>THOMAS</t>
  </si>
  <si>
    <t>NARDEN</t>
  </si>
  <si>
    <t>PAQUIRY</t>
  </si>
  <si>
    <t>DAVID</t>
  </si>
  <si>
    <t>IMARE</t>
  </si>
  <si>
    <t>MARIE ELODIE</t>
  </si>
  <si>
    <t>MOUHITOU</t>
  </si>
  <si>
    <t>FATIMA</t>
  </si>
  <si>
    <t>ALLAMELE</t>
  </si>
  <si>
    <t>JONATHAN</t>
  </si>
  <si>
    <t>ABOUDOU</t>
  </si>
  <si>
    <t>ALIANA</t>
  </si>
  <si>
    <t>HAMADA SAROUMA</t>
  </si>
  <si>
    <t>ARTHUR</t>
  </si>
  <si>
    <t>ABDOU</t>
  </si>
  <si>
    <t>LOVENA</t>
  </si>
  <si>
    <t>BEN FATAH</t>
  </si>
  <si>
    <t>PADRE</t>
  </si>
  <si>
    <t>MANANTSOA</t>
  </si>
  <si>
    <t>IVA</t>
  </si>
  <si>
    <t>JACKY</t>
  </si>
  <si>
    <t>ISSOUFFOU</t>
  </si>
  <si>
    <t>MAIKA</t>
  </si>
  <si>
    <t>MOREL</t>
  </si>
  <si>
    <t>BARBARA</t>
  </si>
  <si>
    <t>HOUMADI</t>
  </si>
  <si>
    <t>HALIDI</t>
  </si>
  <si>
    <t>FANIZA</t>
  </si>
  <si>
    <t>FUMONDE</t>
  </si>
  <si>
    <t>CHEBANI</t>
  </si>
  <si>
    <t>LAETITIA</t>
  </si>
  <si>
    <t>SELINGUE ITEMA</t>
  </si>
  <si>
    <t>OPHELIE</t>
  </si>
  <si>
    <t>PAYET</t>
  </si>
  <si>
    <t>MARION</t>
  </si>
  <si>
    <t>JEAN-ERIC</t>
  </si>
  <si>
    <t>EVAN</t>
  </si>
  <si>
    <t>MADI ALI</t>
  </si>
  <si>
    <t>JEMAHELLE</t>
  </si>
  <si>
    <t>KOURATI</t>
  </si>
  <si>
    <t>HEMEN</t>
  </si>
  <si>
    <t>AMILDINE</t>
  </si>
  <si>
    <t>RUDY</t>
  </si>
  <si>
    <t>TINK-LONG-KI</t>
  </si>
  <si>
    <t>RAIANA</t>
  </si>
  <si>
    <t>VIDUS</t>
  </si>
  <si>
    <t>MONICA</t>
  </si>
  <si>
    <t>DE JESUS</t>
  </si>
  <si>
    <t>IZAI</t>
  </si>
  <si>
    <t>LAI -GO</t>
  </si>
  <si>
    <t>RAYAD</t>
  </si>
  <si>
    <t>FONTAINE</t>
  </si>
  <si>
    <t>RAISMINA</t>
  </si>
  <si>
    <t>OMARI</t>
  </si>
  <si>
    <t>MOINECHA</t>
  </si>
  <si>
    <t>CABOURG</t>
  </si>
  <si>
    <t>ACADINE</t>
  </si>
  <si>
    <t>DEIVA</t>
  </si>
  <si>
    <t>DIJOUX</t>
  </si>
  <si>
    <t>VANILLE</t>
  </si>
  <si>
    <t>KIERANNE</t>
  </si>
  <si>
    <t>ILLAN</t>
  </si>
  <si>
    <t>NANCY</t>
  </si>
  <si>
    <t>GOVINDIN RINGASSAMY SEVAGAMY (RYAN)</t>
  </si>
  <si>
    <t>FARID</t>
  </si>
  <si>
    <t>HAILEMARIAM</t>
  </si>
  <si>
    <t>DARLENE</t>
  </si>
  <si>
    <t>IDAME</t>
  </si>
  <si>
    <t>SEBASTIEN</t>
  </si>
  <si>
    <t>FELIX</t>
  </si>
  <si>
    <t>LOUIS</t>
  </si>
  <si>
    <t>MATHIEU</t>
  </si>
  <si>
    <t>PRISCILLA</t>
  </si>
  <si>
    <t>NOURALY</t>
  </si>
  <si>
    <t>SEBASTIEN EXPEDIT</t>
  </si>
  <si>
    <t>HONORE</t>
  </si>
  <si>
    <t>STEFFY</t>
  </si>
  <si>
    <t>CACOUB</t>
  </si>
  <si>
    <t>MALLAURY</t>
  </si>
  <si>
    <t>IMARY ISSARAMBE</t>
  </si>
  <si>
    <t>NABILAH</t>
  </si>
  <si>
    <t>BERNARD</t>
  </si>
  <si>
    <t>MAEVA</t>
  </si>
  <si>
    <t>PERMALNAIKEN</t>
  </si>
  <si>
    <t>CAROLINE</t>
  </si>
  <si>
    <t>POUGARY</t>
  </si>
  <si>
    <t>CHLOE MARIANNE</t>
  </si>
  <si>
    <t>SARAH</t>
  </si>
  <si>
    <t>ANDHUME</t>
  </si>
  <si>
    <t>AMANDINE</t>
  </si>
  <si>
    <t>JULIENNE</t>
  </si>
  <si>
    <t>VALENTIN</t>
  </si>
  <si>
    <t>MAILLOT</t>
  </si>
  <si>
    <t>ALYSON</t>
  </si>
  <si>
    <t>POUDROUX</t>
  </si>
  <si>
    <t>ETOUARIA</t>
  </si>
  <si>
    <t>BEN-ZANDJABILOU</t>
  </si>
  <si>
    <t>ANGAMA</t>
  </si>
  <si>
    <t>KEREN</t>
  </si>
  <si>
    <t>VICTORIA</t>
  </si>
  <si>
    <t>PONGERARD</t>
  </si>
  <si>
    <t>MAGALI</t>
  </si>
  <si>
    <t>MELANIE</t>
  </si>
  <si>
    <t>ROUCOUMANY AMAYE</t>
  </si>
  <si>
    <t>ETIENNE</t>
  </si>
  <si>
    <t>SAIDI</t>
  </si>
  <si>
    <t>KARINA</t>
  </si>
  <si>
    <t>SON HOUI</t>
  </si>
  <si>
    <t>MICHELINE</t>
  </si>
  <si>
    <t>MARINIER</t>
  </si>
  <si>
    <t>YOHAN</t>
  </si>
  <si>
    <t>DARTY</t>
  </si>
  <si>
    <t>ANDRINIAINA</t>
  </si>
  <si>
    <t>MARINE</t>
  </si>
  <si>
    <t>LAURET</t>
  </si>
  <si>
    <t>FAYOUM</t>
  </si>
  <si>
    <t>SARL Informatique PLUS</t>
  </si>
  <si>
    <t xml:space="preserve">Front de Mer </t>
  </si>
  <si>
    <t>97410 SAINT PIERRE</t>
  </si>
  <si>
    <t>EXERCICE : compléter la facture avec les bonnes formules (sierreur, recherchev, si, etc.). Les matrices ont déjà été nommées : clients et pieces Lorsqu’un client est inexistant, le message affiché sera : "Client inconnu" et pour les pièces, le message sera "Pièce inconnue" ou "Prix inconnu".</t>
  </si>
  <si>
    <t>Numéro client :</t>
  </si>
  <si>
    <t>FACTURE</t>
  </si>
  <si>
    <t>Saint-Pierre le</t>
  </si>
  <si>
    <t>Réf</t>
  </si>
  <si>
    <t>Désignation</t>
  </si>
  <si>
    <t>Qté</t>
  </si>
  <si>
    <t>Unit. HT</t>
  </si>
  <si>
    <t>HT Avant remise</t>
  </si>
  <si>
    <t>Montant
Remise</t>
  </si>
  <si>
    <t>HT Après remise</t>
  </si>
  <si>
    <t>TOTAL HT  :</t>
  </si>
  <si>
    <t>TVA 8,5 %  :</t>
  </si>
  <si>
    <t>Total TTC  :</t>
  </si>
  <si>
    <t>La société ne pratique pas l'escompte. Les factures sont payables à réception.</t>
  </si>
  <si>
    <t>Les intérêts de retard seront calculés sur la base de 1,5% par mois.</t>
  </si>
  <si>
    <t>SI TOTAL HT EST SUPERIEUR A 100 €, UNE REMISE DE 10 % EST ACCORDEE.</t>
  </si>
  <si>
    <r>
      <rPr>
        <rFont val="Arial"/>
        <b/>
        <color theme="1"/>
        <sz val="14.0"/>
        <u/>
      </rPr>
      <t xml:space="preserve">ETAT DES STOCKS
</t>
    </r>
    <r>
      <rPr>
        <rFont val="Arial"/>
        <b val="0"/>
        <i/>
        <color theme="1"/>
        <sz val="10.0"/>
        <u/>
      </rPr>
      <t>au 15/09/04</t>
    </r>
  </si>
  <si>
    <t>N°</t>
  </si>
  <si>
    <t>Quantité en
stock</t>
  </si>
  <si>
    <t>Prix</t>
  </si>
  <si>
    <t>Lecteur de disquette 3,5 pouces</t>
  </si>
  <si>
    <t>Lecteur DVD-ROM 12x</t>
  </si>
  <si>
    <t>Lecteur DVD-ROM 24x</t>
  </si>
  <si>
    <t>Lecteur DVD-ROM 52x</t>
  </si>
  <si>
    <t>Graveur DVD-ROM 2x</t>
  </si>
  <si>
    <t>Graveur DVD-ROM 4x</t>
  </si>
  <si>
    <t>Graveur DVD-ROM 8x</t>
  </si>
  <si>
    <t>Ecran plat Sony 15 pouces</t>
  </si>
  <si>
    <t>Ecran plat Sony 17 pouces</t>
  </si>
  <si>
    <t>Ecran plat Sony 19 pouces</t>
  </si>
  <si>
    <t>Ecran cathodique Hyundai 17 pouces</t>
  </si>
  <si>
    <t>Ecran cathodique Hyundai 19 pouces</t>
  </si>
  <si>
    <t>Ecran cathodique Hyundai 21 pouces</t>
  </si>
  <si>
    <t>Barette mémoire vive 128 Mo</t>
  </si>
  <si>
    <t>Barette mémoire vive 256 Mo</t>
  </si>
  <si>
    <t>Barette mémoire vive 512 Mo</t>
  </si>
  <si>
    <t>Disque dur 40 Go</t>
  </si>
  <si>
    <t>Disque dur 80 Go</t>
  </si>
  <si>
    <t>Disque dur 120 Go</t>
  </si>
  <si>
    <t>Disque dur 160 Go</t>
  </si>
  <si>
    <t>Processeur AMD Athlon 1,8 Hgz</t>
  </si>
  <si>
    <t>Processeur AMD Athlon 2,0 Hgz</t>
  </si>
  <si>
    <t>Processeur AMD Athlon 2,2 Hgz</t>
  </si>
  <si>
    <t>Processeur AMD Athlon 2,8 Hgz</t>
  </si>
  <si>
    <t>Processeur Intel PIV 1,8 Hgz</t>
  </si>
  <si>
    <t>Processeur Intel PIV 2,0 Hgz</t>
  </si>
  <si>
    <t>Processeur Intel PIV 2,2 Hgz</t>
  </si>
  <si>
    <t>Processeur Intel PIV 2,8 Hgz</t>
  </si>
  <si>
    <t>Carte mère ASUS pour AMD</t>
  </si>
  <si>
    <t>Carte mère ASUS pour Intel</t>
  </si>
  <si>
    <t>Boitier mini tour</t>
  </si>
  <si>
    <t>Boitier moyen tour</t>
  </si>
  <si>
    <t>Boitier grande tour</t>
  </si>
  <si>
    <t>Boitier barrebone</t>
  </si>
  <si>
    <t>Boitier shuttle</t>
  </si>
  <si>
    <t>Carte son Sound Blaster 64 PCI</t>
  </si>
  <si>
    <t>Carte vidéo Rage Fury 64 PCI - 4 Mo</t>
  </si>
  <si>
    <t>Carte vidéo Rage Fury 64 PCI - 64 Mo</t>
  </si>
  <si>
    <t>Carte vidéo Rage Fury 64 PCI - 128 Mo</t>
  </si>
  <si>
    <t>Imprimante laser noir et blanc 300 dpi</t>
  </si>
  <si>
    <t>Imprimante laser noir et blanc 600 dpi</t>
  </si>
  <si>
    <t>Imprimante laser noir et blanc 1 200 dpi</t>
  </si>
  <si>
    <t>Imprimante couleur jet d'encre 600 dpi</t>
  </si>
  <si>
    <t>Imprimante couleur jet d'encre 1 200 dpi</t>
  </si>
  <si>
    <t>Imprimante couleur jet d'encre 1 800 dpi</t>
  </si>
  <si>
    <t>Web Cam Sony haute résolution</t>
  </si>
  <si>
    <t>Modem Olitec 56 Ko</t>
  </si>
  <si>
    <t>Modem Olitec RNIS 128 Ko</t>
  </si>
  <si>
    <t>Modem Olitec ADSL 128 Ko</t>
  </si>
  <si>
    <t>Modem Olitec ADSL 512 Ko</t>
  </si>
  <si>
    <t>FICHIER CLIENTS</t>
  </si>
  <si>
    <t>Numero
client</t>
  </si>
  <si>
    <t>Adresse</t>
  </si>
  <si>
    <t>Code postal</t>
  </si>
  <si>
    <t>MONSIEUR TEXIPPR</t>
  </si>
  <si>
    <t>1 AVENUE JEAN JAURES</t>
  </si>
  <si>
    <t>97430 TAMPON</t>
  </si>
  <si>
    <t>MONSIEUR TURPIN</t>
  </si>
  <si>
    <t>1 AVENUE JEAN MALOT</t>
  </si>
  <si>
    <t>MONSIEUR SIMJEE</t>
  </si>
  <si>
    <t>1 CHEMIN FERRERE</t>
  </si>
  <si>
    <t>MONSIEUR SIMANS JEAN</t>
  </si>
  <si>
    <t>1 RUE DU DOCTEUR MANES</t>
  </si>
  <si>
    <t>97414 ENTRE-DEUX</t>
  </si>
  <si>
    <t>MONSIEUR SERY HUBERT</t>
  </si>
  <si>
    <t>1 RUELLE DES AJONCS</t>
  </si>
  <si>
    <t>MONSIEUR SALAMBO JEAN</t>
  </si>
  <si>
    <t>10 BIS RTE NATIONALE PIERREFONDS</t>
  </si>
  <si>
    <t>MONSIEUR SADEHE</t>
  </si>
  <si>
    <t>10 BIS RTE NATIONALE</t>
  </si>
  <si>
    <t>97480 SAINT JOSEPH</t>
  </si>
  <si>
    <t>MONSIEUR ROUCOU</t>
  </si>
  <si>
    <t>10 CHEMIN ACQUIER</t>
  </si>
  <si>
    <t>MONSIEUR ROSSOLIN</t>
  </si>
  <si>
    <t>10 RUE JEAN ALBANY</t>
  </si>
  <si>
    <t>MONSIEUR ROBERT LOUIS</t>
  </si>
  <si>
    <t>10 RUELLE DES FRERES</t>
  </si>
  <si>
    <t>MONSIEUR RIVIERE PAUL</t>
  </si>
  <si>
    <t>11 RUE DU SOUFFLEUR</t>
  </si>
  <si>
    <t>97427 ETANG-SALE</t>
  </si>
  <si>
    <t>MONSIEUR RIVIERE LUCO</t>
  </si>
  <si>
    <t>11 RUELLE MARIE ESTELLA</t>
  </si>
  <si>
    <t>MONSIEUR RIVIERE JEAN</t>
  </si>
  <si>
    <t>12 CHEMIN FERRERE</t>
  </si>
  <si>
    <t>97470 SAINT BENOIT</t>
  </si>
  <si>
    <t>MONSIEUR RIVIERE</t>
  </si>
  <si>
    <t>12 CHEMIN RANGAPA</t>
  </si>
  <si>
    <t>MONSIEUR PRIFUGARD</t>
  </si>
  <si>
    <t>12 CHEMIN RANGAMA</t>
  </si>
  <si>
    <t>MONSIEUR HOARAU</t>
  </si>
  <si>
    <t>13 CHEMIN LENINE</t>
  </si>
  <si>
    <t>97450 SAINT LOUIS</t>
  </si>
  <si>
    <t xml:space="preserve">MONSIEUR PIERRE LOUIS </t>
  </si>
  <si>
    <t>13 RUE FRERE DENIS</t>
  </si>
  <si>
    <t>MONSIEUR PICARD</t>
  </si>
  <si>
    <t>14  RES  MAZAGRAN</t>
  </si>
  <si>
    <t>MONSIEUR PELLIER</t>
  </si>
  <si>
    <t>14 LOT GRANDE TERRE</t>
  </si>
  <si>
    <t>MONSIEUR PAYET JEAN</t>
  </si>
  <si>
    <t>14 RES MAZAGRAN</t>
  </si>
  <si>
    <t>MONSIEUR PALAMA</t>
  </si>
  <si>
    <t>14 RUE DU STADE BASSE TERRE</t>
  </si>
  <si>
    <t>MONSIEUR NAGUIN</t>
  </si>
  <si>
    <t>15 ALLEE DES PALMIERS</t>
  </si>
  <si>
    <t>MONSIEUR MEZINO</t>
  </si>
  <si>
    <t>16 ALLEE DES PALMIERS</t>
  </si>
  <si>
    <t>MONSIEUR PASCAL</t>
  </si>
  <si>
    <t>17 CHEMIN CLAUDE LEBON</t>
  </si>
  <si>
    <t>97429 PETITE-ILE</t>
  </si>
  <si>
    <t>MONSIEUR MARI</t>
  </si>
  <si>
    <t>17 RUE PAUL HERMANN</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</si>
</sst>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0&quot; €&quot;"/>
    <numFmt numFmtId="165" formatCode="#,##0&quot;    &quot;;\-#,##0&quot;    &quot;;\-#&quot;    &quot;;@\ "/>
    <numFmt numFmtId="166" formatCode="#,##0.00\ [$€];[Red]\-#,##0.00\ [$€]"/>
    <numFmt numFmtId="167" formatCode="#,##0.00\ [$€-1]"/>
    <numFmt numFmtId="168" formatCode="#,##0.00&quot; € &quot;;\-#,##0.00&quot; € &quot;;\-#&quot; € &quot;;@\ "/>
    <numFmt numFmtId="169" formatCode="dddd&quot;, &quot;mmmm\ dd&quot;, &quot;yyyy"/>
    <numFmt numFmtId="170" formatCode="#,##0.00\ [$€-1]\ ;\-#,##0.00\ [$€-1]\ ;\-#\ [$€-1]\ "/>
  </numFmts>
  <fonts count="25">
    <font>
      <sz val="10.0"/>
      <color rgb="FF000000"/>
      <name val="Arial"/>
      <scheme val="minor"/>
    </font>
    <font>
      <b/>
      <sz val="10.0"/>
      <color rgb="FFFF0000"/>
      <name val="Arial"/>
    </font>
    <font>
      <b/>
      <sz val="10.0"/>
      <color theme="1"/>
      <name val="Arial"/>
    </font>
    <font>
      <sz val="10.0"/>
      <color theme="1"/>
      <name val="Arial"/>
    </font>
    <font>
      <b/>
      <sz val="16.0"/>
      <color theme="1"/>
      <name val="Arial"/>
    </font>
    <font/>
    <font>
      <sz val="10.0"/>
      <color rgb="FF000000"/>
      <name val="Arial"/>
    </font>
    <font>
      <b/>
      <sz val="10.0"/>
      <color rgb="FFFFFFFF"/>
      <name val="Arial"/>
    </font>
    <font>
      <b/>
      <sz val="12.0"/>
      <color theme="1"/>
      <name val="Arial"/>
    </font>
    <font>
      <b/>
      <u/>
      <sz val="10.0"/>
      <color theme="1"/>
      <name val="Arial"/>
    </font>
    <font>
      <b/>
      <sz val="14.0"/>
      <color theme="1"/>
      <name val="Arial"/>
    </font>
    <font>
      <b/>
      <sz val="9.0"/>
      <color theme="1"/>
      <name val="Arial"/>
    </font>
    <font>
      <sz val="9.0"/>
      <color theme="1"/>
      <name val="Arial"/>
    </font>
    <font>
      <b/>
      <sz val="12.0"/>
      <color rgb="FF000000"/>
      <name val="Arial"/>
    </font>
    <font>
      <sz val="12.0"/>
      <color theme="1"/>
      <name val="Arial"/>
    </font>
    <font>
      <i/>
      <sz val="14.0"/>
      <color theme="1"/>
      <name val="Arial"/>
    </font>
    <font>
      <b/>
      <sz val="10.0"/>
      <color rgb="FF3366FF"/>
      <name val="Arial"/>
    </font>
    <font>
      <sz val="12.0"/>
      <color rgb="FFFF0000"/>
      <name val="Arial"/>
    </font>
    <font>
      <b/>
      <sz val="14.0"/>
      <color rgb="FFFF0000"/>
      <name val="Arial"/>
    </font>
    <font>
      <i/>
      <sz val="10.0"/>
      <color theme="1"/>
      <name val="Arial"/>
    </font>
    <font>
      <sz val="16.0"/>
      <color theme="1"/>
      <name val="Arial"/>
    </font>
    <font>
      <b/>
      <u/>
      <sz val="14.0"/>
      <color theme="1"/>
      <name val="Arial"/>
    </font>
    <font>
      <b/>
      <sz val="15.0"/>
      <color theme="1"/>
      <name val="Arial"/>
    </font>
    <font>
      <b/>
      <sz val="10.0"/>
      <color theme="1"/>
      <name val="Open Sans"/>
    </font>
    <font>
      <sz val="10.0"/>
      <color theme="1"/>
      <name val="Open Sans"/>
    </font>
  </fonts>
  <fills count="16">
    <fill>
      <patternFill patternType="none"/>
    </fill>
    <fill>
      <patternFill patternType="lightGray"/>
    </fill>
    <fill>
      <patternFill patternType="solid">
        <fgColor rgb="FF89FC77"/>
        <bgColor rgb="FF89FC77"/>
      </patternFill>
    </fill>
    <fill>
      <patternFill patternType="solid">
        <fgColor rgb="FFFCA877"/>
        <bgColor rgb="FFFCA877"/>
      </patternFill>
    </fill>
    <fill>
      <patternFill patternType="solid">
        <fgColor rgb="FFCCCCCC"/>
        <bgColor rgb="FFCCCCCC"/>
      </patternFill>
    </fill>
    <fill>
      <patternFill patternType="solid">
        <fgColor rgb="FF3FAF46"/>
        <bgColor rgb="FF3FAF46"/>
      </patternFill>
    </fill>
    <fill>
      <patternFill patternType="solid">
        <fgColor rgb="FF000000"/>
        <bgColor rgb="FF000000"/>
      </patternFill>
    </fill>
    <fill>
      <patternFill patternType="solid">
        <fgColor rgb="FFEB77FC"/>
        <bgColor rgb="FFEB77FC"/>
      </patternFill>
    </fill>
    <fill>
      <patternFill patternType="solid">
        <fgColor rgb="FFB4C7DC"/>
        <bgColor rgb="FFB4C7DC"/>
      </patternFill>
    </fill>
    <fill>
      <patternFill patternType="solid">
        <fgColor rgb="FF77CCFC"/>
        <bgColor rgb="FF77CCFC"/>
      </patternFill>
    </fill>
    <fill>
      <patternFill patternType="solid">
        <fgColor rgb="FF99CCFF"/>
        <bgColor rgb="FF99CCFF"/>
      </patternFill>
    </fill>
    <fill>
      <patternFill patternType="solid">
        <fgColor rgb="FFCCFFCC"/>
        <bgColor rgb="FFCCFFCC"/>
      </patternFill>
    </fill>
    <fill>
      <patternFill patternType="solid">
        <fgColor rgb="FFA6CAF0"/>
        <bgColor rgb="FFA6CAF0"/>
      </patternFill>
    </fill>
    <fill>
      <patternFill patternType="solid">
        <fgColor rgb="FFFFFF00"/>
        <bgColor rgb="FFFFFF00"/>
      </patternFill>
    </fill>
    <fill>
      <patternFill patternType="solid">
        <fgColor rgb="FFC0C0C0"/>
        <bgColor rgb="FFC0C0C0"/>
      </patternFill>
    </fill>
    <fill>
      <patternFill patternType="solid">
        <fgColor rgb="FF3DEB3D"/>
        <bgColor rgb="FF3DEB3D"/>
      </patternFill>
    </fill>
  </fills>
  <borders count="3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bottom/>
    </border>
    <border>
      <top/>
      <bottom/>
    </border>
    <border>
      <right/>
      <top/>
      <bottom/>
    </border>
    <border>
      <left/>
      <top/>
    </border>
    <border>
      <top/>
    </border>
    <border>
      <right/>
      <top/>
    </border>
    <border>
      <left/>
    </border>
    <border>
      <right/>
    </border>
    <border>
      <left/>
      <bottom/>
    </border>
    <border>
      <bottom/>
    </border>
    <border>
      <right/>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right/>
      <top/>
      <bottom/>
    </border>
    <border>
      <left/>
      <right style="thin">
        <color rgb="FF000000"/>
      </right>
      <top/>
      <bottom/>
    </border>
    <border>
      <left style="thin">
        <color rgb="FF000000"/>
      </left>
      <right/>
      <top/>
      <bottom style="thin">
        <color rgb="FF000000"/>
      </bottom>
    </border>
    <border>
      <left/>
      <right style="thin">
        <color rgb="FF000000"/>
      </right>
      <top/>
      <bottom style="thin">
        <color rgb="FF000000"/>
      </bottom>
    </border>
    <border>
      <left style="hair">
        <color rgb="FF000000"/>
      </left>
      <top style="hair">
        <color rgb="FF000000"/>
      </top>
      <bottom/>
    </border>
    <border>
      <right style="hair">
        <color rgb="FF000000"/>
      </right>
      <top style="hair">
        <color rgb="FF000000"/>
      </top>
      <bottom/>
    </border>
    <border>
      <right/>
      <top style="thin">
        <color rgb="FF000000"/>
      </top>
      <bottom style="thin">
        <color rgb="FF000000"/>
      </bottom>
    </border>
    <border>
      <left style="thin">
        <color rgb="FF000000"/>
      </left>
      <right style="thin">
        <color rgb="FF000000"/>
      </right>
      <top/>
      <bottom/>
    </border>
    <border>
      <left style="thin">
        <color rgb="FF000000"/>
      </left>
      <right style="thin">
        <color rgb="FF000000"/>
      </right>
      <top/>
      <bottom style="thin">
        <color rgb="FF000000"/>
      </bottom>
    </border>
    <border>
      <left/>
      <right style="thin">
        <color rgb="FF000000"/>
      </right>
      <top style="thin">
        <color rgb="FF000000"/>
      </top>
      <bottom style="thin">
        <color rgb="FF000000"/>
      </bottom>
    </border>
    <border>
      <left style="hair">
        <color rgb="FF000000"/>
      </left>
      <top style="hair">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s>
  <cellStyleXfs count="1">
    <xf borderId="0" fillId="0" fontId="0" numFmtId="0" applyAlignment="1" applyFont="1"/>
  </cellStyleXfs>
  <cellXfs count="112">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Font="1"/>
    <xf borderId="1" fillId="2" fontId="2" numFmtId="0" xfId="0" applyBorder="1" applyFill="1" applyFont="1"/>
    <xf borderId="1" fillId="0" fontId="3" numFmtId="0" xfId="0" applyBorder="1" applyFont="1"/>
    <xf borderId="2" fillId="3" fontId="4" numFmtId="0" xfId="0" applyAlignment="1" applyBorder="1" applyFill="1" applyFont="1">
      <alignment horizontal="center" vertical="center"/>
    </xf>
    <xf borderId="3" fillId="0" fontId="5" numFmtId="0" xfId="0" applyBorder="1" applyFont="1"/>
    <xf borderId="4" fillId="0" fontId="5" numFmtId="0" xfId="0" applyBorder="1" applyFont="1"/>
    <xf borderId="0" fillId="0" fontId="3" numFmtId="0" xfId="0" applyAlignment="1" applyFont="1">
      <alignment vertical="center"/>
    </xf>
    <xf borderId="0" fillId="0" fontId="2" numFmtId="0" xfId="0" applyAlignment="1" applyFont="1">
      <alignment horizontal="center" vertical="center"/>
    </xf>
    <xf borderId="0" fillId="0" fontId="2" numFmtId="0" xfId="0" applyAlignment="1" applyFont="1">
      <alignment horizontal="left" vertical="center"/>
    </xf>
    <xf borderId="1" fillId="2" fontId="3" numFmtId="0" xfId="0" applyAlignment="1" applyBorder="1" applyFont="1">
      <alignment horizontal="center" vertical="center"/>
    </xf>
    <xf borderId="1" fillId="2" fontId="3" numFmtId="0" xfId="0" applyAlignment="1" applyBorder="1" applyFont="1">
      <alignment horizontal="center" shrinkToFit="0" vertical="center" wrapText="1"/>
    </xf>
    <xf borderId="1" fillId="4" fontId="6" numFmtId="0" xfId="0" applyAlignment="1" applyBorder="1" applyFill="1" applyFont="1">
      <alignment horizontal="center" vertical="center"/>
    </xf>
    <xf borderId="1" fillId="0" fontId="6" numFmtId="164" xfId="0" applyAlignment="1" applyBorder="1" applyFont="1" applyNumberFormat="1">
      <alignment vertical="center"/>
    </xf>
    <xf borderId="1" fillId="0" fontId="3" numFmtId="164" xfId="0" applyAlignment="1" applyBorder="1" applyFont="1" applyNumberFormat="1">
      <alignment vertical="center"/>
    </xf>
    <xf borderId="1" fillId="0" fontId="3" numFmtId="9" xfId="0" applyAlignment="1" applyBorder="1" applyFont="1" applyNumberFormat="1">
      <alignment horizontal="center" vertical="center"/>
    </xf>
    <xf borderId="1" fillId="5" fontId="6" numFmtId="0" xfId="0" applyAlignment="1" applyBorder="1" applyFill="1" applyFont="1">
      <alignment horizontal="right" vertical="center"/>
    </xf>
    <xf borderId="1" fillId="6" fontId="3" numFmtId="165" xfId="0" applyAlignment="1" applyBorder="1" applyFill="1" applyFont="1" applyNumberFormat="1">
      <alignment vertical="center"/>
    </xf>
    <xf borderId="1" fillId="6" fontId="7" numFmtId="165" xfId="0" applyAlignment="1" applyBorder="1" applyFont="1" applyNumberFormat="1">
      <alignment horizontal="right" readingOrder="0" vertical="center"/>
    </xf>
    <xf borderId="1" fillId="6" fontId="7" numFmtId="10" xfId="0" applyAlignment="1" applyBorder="1" applyFont="1" applyNumberFormat="1">
      <alignment horizontal="right" readingOrder="0" vertical="center"/>
    </xf>
    <xf borderId="1" fillId="5" fontId="3" numFmtId="0" xfId="0" applyAlignment="1" applyBorder="1" applyFont="1">
      <alignment horizontal="right" vertical="center"/>
    </xf>
    <xf borderId="1" fillId="6" fontId="3" numFmtId="0" xfId="0" applyAlignment="1" applyBorder="1" applyFont="1">
      <alignment vertical="center"/>
    </xf>
    <xf borderId="5" fillId="7" fontId="8" numFmtId="0" xfId="0" applyAlignment="1" applyBorder="1" applyFill="1" applyFont="1">
      <alignment horizontal="left"/>
    </xf>
    <xf borderId="6" fillId="0" fontId="5" numFmtId="0" xfId="0" applyBorder="1" applyFont="1"/>
    <xf borderId="7" fillId="0" fontId="5" numFmtId="0" xfId="0" applyBorder="1" applyFont="1"/>
    <xf borderId="1" fillId="8" fontId="2" numFmtId="0" xfId="0" applyAlignment="1" applyBorder="1" applyFill="1" applyFont="1">
      <alignment horizontal="center" vertical="center"/>
    </xf>
    <xf borderId="1" fillId="9" fontId="2" numFmtId="0" xfId="0" applyAlignment="1" applyBorder="1" applyFill="1" applyFont="1">
      <alignment horizontal="center" vertical="center"/>
    </xf>
    <xf borderId="1" fillId="0" fontId="3" numFmtId="0" xfId="0" applyAlignment="1" applyBorder="1" applyFont="1">
      <alignment vertical="center"/>
    </xf>
    <xf borderId="1" fillId="9" fontId="3" numFmtId="166" xfId="0" applyAlignment="1" applyBorder="1" applyFont="1" applyNumberFormat="1">
      <alignment readingOrder="0" vertical="center"/>
    </xf>
    <xf borderId="1" fillId="9" fontId="3" numFmtId="0" xfId="0" applyAlignment="1" applyBorder="1" applyFont="1">
      <alignment readingOrder="0" vertical="center"/>
    </xf>
    <xf borderId="8" fillId="7" fontId="9" numFmtId="0" xfId="0" applyAlignment="1" applyBorder="1" applyFont="1">
      <alignment horizontal="left" shrinkToFit="0" vertical="center" wrapText="1"/>
    </xf>
    <xf borderId="9" fillId="0" fontId="5" numFmtId="0" xfId="0" applyBorder="1" applyFont="1"/>
    <xf borderId="10" fillId="0" fontId="5" numFmtId="0" xfId="0" applyBorder="1" applyFont="1"/>
    <xf borderId="1" fillId="9" fontId="3" numFmtId="10" xfId="0" applyAlignment="1" applyBorder="1" applyFont="1" applyNumberFormat="1">
      <alignment readingOrder="0" vertical="center"/>
    </xf>
    <xf borderId="11" fillId="0" fontId="5" numFmtId="0" xfId="0" applyBorder="1" applyFont="1"/>
    <xf borderId="12" fillId="0" fontId="5" numFmtId="0" xfId="0" applyBorder="1" applyFont="1"/>
    <xf borderId="1" fillId="9" fontId="3" numFmtId="167" xfId="0" applyAlignment="1" applyBorder="1" applyFont="1" applyNumberFormat="1">
      <alignment vertical="center"/>
    </xf>
    <xf borderId="13" fillId="0" fontId="5" numFmtId="0" xfId="0" applyBorder="1" applyFont="1"/>
    <xf borderId="14" fillId="0" fontId="5" numFmtId="0" xfId="0" applyBorder="1" applyFont="1"/>
    <xf borderId="15" fillId="0" fontId="5" numFmtId="0" xfId="0" applyBorder="1" applyFont="1"/>
    <xf borderId="16" fillId="10" fontId="10" numFmtId="0" xfId="0" applyAlignment="1" applyBorder="1" applyFill="1" applyFont="1">
      <alignment horizontal="center" vertical="center"/>
    </xf>
    <xf borderId="17" fillId="0" fontId="5" numFmtId="0" xfId="0" applyBorder="1" applyFont="1"/>
    <xf borderId="18" fillId="0" fontId="5" numFmtId="0" xfId="0" applyBorder="1" applyFont="1"/>
    <xf borderId="19" fillId="0" fontId="5" numFmtId="0" xfId="0" applyBorder="1" applyFont="1"/>
    <xf borderId="20" fillId="0" fontId="5" numFmtId="0" xfId="0" applyBorder="1" applyFont="1"/>
    <xf borderId="21" fillId="0" fontId="5" numFmtId="0" xfId="0" applyBorder="1" applyFont="1"/>
    <xf borderId="1" fillId="6" fontId="3" numFmtId="0" xfId="0" applyBorder="1" applyFont="1"/>
    <xf borderId="1" fillId="11" fontId="2" numFmtId="0" xfId="0" applyAlignment="1" applyBorder="1" applyFill="1" applyFont="1">
      <alignment horizontal="center" vertical="center"/>
    </xf>
    <xf borderId="1" fillId="0" fontId="2" numFmtId="0" xfId="0" applyAlignment="1" applyBorder="1" applyFont="1">
      <alignment horizontal="left"/>
    </xf>
    <xf borderId="1" fillId="0" fontId="3" numFmtId="168" xfId="0" applyBorder="1" applyFont="1" applyNumberFormat="1"/>
    <xf borderId="1" fillId="0" fontId="1" numFmtId="9" xfId="0" applyAlignment="1" applyBorder="1" applyFont="1" applyNumberFormat="1">
      <alignment horizontal="center"/>
    </xf>
    <xf borderId="8" fillId="7" fontId="8" numFmtId="0" xfId="0" applyAlignment="1" applyBorder="1" applyFont="1">
      <alignment horizontal="center" shrinkToFit="0" vertical="center" wrapText="1"/>
    </xf>
    <xf borderId="1" fillId="0" fontId="8" numFmtId="0" xfId="0" applyAlignment="1" applyBorder="1" applyFont="1">
      <alignment horizontal="left"/>
    </xf>
    <xf borderId="1" fillId="0" fontId="2" numFmtId="168" xfId="0" applyBorder="1" applyFont="1" applyNumberFormat="1"/>
    <xf borderId="0" fillId="0" fontId="3" numFmtId="168" xfId="0" applyFont="1" applyNumberFormat="1"/>
    <xf borderId="2" fillId="11" fontId="8" numFmtId="0" xfId="0" applyAlignment="1" applyBorder="1" applyFont="1">
      <alignment horizontal="center" vertical="center"/>
    </xf>
    <xf borderId="1" fillId="12" fontId="11" numFmtId="0" xfId="0" applyAlignment="1" applyBorder="1" applyFill="1" applyFont="1">
      <alignment horizontal="center" vertical="center"/>
    </xf>
    <xf borderId="1" fillId="0" fontId="12" numFmtId="0" xfId="0" applyAlignment="1" applyBorder="1" applyFont="1">
      <alignment horizontal="center" vertical="center"/>
    </xf>
    <xf borderId="1" fillId="0" fontId="12" numFmtId="0" xfId="0" applyAlignment="1" applyBorder="1" applyFont="1">
      <alignment vertical="center"/>
    </xf>
    <xf borderId="1" fillId="0" fontId="12" numFmtId="2" xfId="0" applyAlignment="1" applyBorder="1" applyFont="1" applyNumberFormat="1">
      <alignment horizontal="right" vertical="center"/>
    </xf>
    <xf borderId="0" fillId="0" fontId="3" numFmtId="0" xfId="0" applyAlignment="1" applyFont="1">
      <alignment horizontal="center" vertical="center"/>
    </xf>
    <xf borderId="22" fillId="10" fontId="13" numFmtId="0" xfId="0" applyAlignment="1" applyBorder="1" applyFont="1">
      <alignment horizontal="center"/>
    </xf>
    <xf borderId="23" fillId="0" fontId="5" numFmtId="0" xfId="0" applyBorder="1" applyFont="1"/>
    <xf borderId="24" fillId="10" fontId="13" numFmtId="0" xfId="0" applyBorder="1" applyFont="1"/>
    <xf borderId="25" fillId="10" fontId="6" numFmtId="0" xfId="0" applyBorder="1" applyFont="1"/>
    <xf borderId="26" fillId="10" fontId="13" numFmtId="0" xfId="0" applyBorder="1" applyFont="1"/>
    <xf borderId="27" fillId="10" fontId="6" numFmtId="0" xfId="0" applyBorder="1" applyFont="1"/>
    <xf borderId="28" fillId="2" fontId="8" numFmtId="49" xfId="0" applyAlignment="1" applyBorder="1" applyFont="1" applyNumberFormat="1">
      <alignment horizontal="left"/>
    </xf>
    <xf borderId="29" fillId="0" fontId="5" numFmtId="0" xfId="0" applyBorder="1" applyFont="1"/>
    <xf borderId="0" fillId="0" fontId="8" numFmtId="0" xfId="0" applyAlignment="1" applyFont="1">
      <alignment horizontal="right"/>
    </xf>
    <xf borderId="5" fillId="13" fontId="3" numFmtId="0" xfId="0" applyBorder="1" applyFill="1" applyFont="1"/>
    <xf borderId="0" fillId="0" fontId="14" numFmtId="0" xfId="0" applyFont="1"/>
    <xf borderId="2" fillId="14" fontId="15" numFmtId="0" xfId="0" applyAlignment="1" applyBorder="1" applyFill="1" applyFont="1">
      <alignment horizontal="center"/>
    </xf>
    <xf borderId="30" fillId="0" fontId="5" numFmtId="0" xfId="0" applyBorder="1" applyFont="1"/>
    <xf borderId="0" fillId="0" fontId="3" numFmtId="0" xfId="0" applyAlignment="1" applyFont="1">
      <alignment horizontal="right"/>
    </xf>
    <xf borderId="0" fillId="0" fontId="3" numFmtId="169" xfId="0" applyAlignment="1" applyFont="1" applyNumberFormat="1">
      <alignment horizontal="left"/>
    </xf>
    <xf borderId="1" fillId="9" fontId="16" numFmtId="0" xfId="0" applyAlignment="1" applyBorder="1" applyFont="1">
      <alignment horizontal="center" vertical="center"/>
    </xf>
    <xf borderId="1" fillId="9" fontId="16" numFmtId="0" xfId="0" applyAlignment="1" applyBorder="1" applyFont="1">
      <alignment horizontal="center" shrinkToFit="0" vertical="center" wrapText="1"/>
    </xf>
    <xf borderId="31" fillId="13" fontId="3" numFmtId="0" xfId="0" applyAlignment="1" applyBorder="1" applyFont="1">
      <alignment horizontal="center" vertical="center"/>
    </xf>
    <xf borderId="31" fillId="2" fontId="14" numFmtId="0" xfId="0" applyAlignment="1" applyBorder="1" applyFont="1">
      <alignment vertical="center"/>
    </xf>
    <xf borderId="31" fillId="13" fontId="14" numFmtId="0" xfId="0" applyAlignment="1" applyBorder="1" applyFont="1">
      <alignment horizontal="center" vertical="center"/>
    </xf>
    <xf borderId="31" fillId="2" fontId="14" numFmtId="167" xfId="0" applyAlignment="1" applyBorder="1" applyFont="1" applyNumberFormat="1">
      <alignment vertical="center"/>
    </xf>
    <xf borderId="25" fillId="2" fontId="14" numFmtId="170" xfId="0" applyAlignment="1" applyBorder="1" applyFont="1" applyNumberFormat="1">
      <alignment readingOrder="0" vertical="center"/>
    </xf>
    <xf borderId="25" fillId="2" fontId="17" numFmtId="170" xfId="0" applyAlignment="1" applyBorder="1" applyFont="1" applyNumberFormat="1">
      <alignment horizontal="center" vertical="center"/>
    </xf>
    <xf borderId="32" fillId="13" fontId="3" numFmtId="0" xfId="0" applyAlignment="1" applyBorder="1" applyFont="1">
      <alignment horizontal="center" vertical="center"/>
    </xf>
    <xf borderId="32" fillId="13" fontId="14" numFmtId="0" xfId="0" applyAlignment="1" applyBorder="1" applyFont="1">
      <alignment horizontal="center" vertical="center"/>
    </xf>
    <xf borderId="0" fillId="0" fontId="14" numFmtId="0" xfId="0" applyAlignment="1" applyFont="1">
      <alignment vertical="center"/>
    </xf>
    <xf borderId="1" fillId="9" fontId="8" numFmtId="0" xfId="0" applyAlignment="1" applyBorder="1" applyFont="1">
      <alignment horizontal="right" vertical="center"/>
    </xf>
    <xf borderId="33" fillId="2" fontId="14" numFmtId="170" xfId="0" applyAlignment="1" applyBorder="1" applyFont="1" applyNumberFormat="1">
      <alignment vertical="center"/>
    </xf>
    <xf borderId="33" fillId="2" fontId="14" numFmtId="170" xfId="0" applyAlignment="1" applyBorder="1" applyFont="1" applyNumberFormat="1">
      <alignment readingOrder="0" vertical="center"/>
    </xf>
    <xf borderId="1" fillId="2" fontId="14" numFmtId="170" xfId="0" applyAlignment="1" applyBorder="1" applyFont="1" applyNumberFormat="1">
      <alignment vertical="center"/>
    </xf>
    <xf borderId="1" fillId="6" fontId="14" numFmtId="2" xfId="0" applyAlignment="1" applyBorder="1" applyFont="1" applyNumberFormat="1">
      <alignment vertical="center"/>
    </xf>
    <xf borderId="1" fillId="6" fontId="10" numFmtId="0" xfId="0" applyAlignment="1" applyBorder="1" applyFont="1">
      <alignment vertical="center"/>
    </xf>
    <xf borderId="1" fillId="2" fontId="18" numFmtId="170" xfId="0" applyAlignment="1" applyBorder="1" applyFont="1" applyNumberFormat="1">
      <alignment vertical="center"/>
    </xf>
    <xf borderId="0" fillId="0" fontId="19" numFmtId="0" xfId="0" applyFont="1"/>
    <xf borderId="0" fillId="0" fontId="20" numFmtId="0" xfId="0" applyAlignment="1" applyFont="1">
      <alignment horizontal="center" shrinkToFit="0" wrapText="1"/>
    </xf>
    <xf borderId="2" fillId="11" fontId="21" numFmtId="0" xfId="0" applyAlignment="1" applyBorder="1" applyFont="1">
      <alignment horizontal="center" shrinkToFit="0" vertical="center" wrapText="1"/>
    </xf>
    <xf borderId="0" fillId="0" fontId="3" numFmtId="0" xfId="0" applyAlignment="1" applyFont="1">
      <alignment horizontal="center"/>
    </xf>
    <xf borderId="1" fillId="10" fontId="8" numFmtId="0" xfId="0" applyAlignment="1" applyBorder="1" applyFont="1">
      <alignment horizontal="center" vertical="center"/>
    </xf>
    <xf borderId="1" fillId="10" fontId="8" numFmtId="0" xfId="0" applyAlignment="1" applyBorder="1" applyFont="1">
      <alignment horizontal="center" shrinkToFit="0" vertical="center" wrapText="1"/>
    </xf>
    <xf borderId="1" fillId="0" fontId="3" numFmtId="0" xfId="0" applyAlignment="1" applyBorder="1" applyFont="1">
      <alignment horizontal="center"/>
    </xf>
    <xf borderId="1" fillId="0" fontId="3" numFmtId="170" xfId="0" applyBorder="1" applyFont="1" applyNumberFormat="1"/>
    <xf borderId="34" fillId="15" fontId="22" numFmtId="0" xfId="0" applyAlignment="1" applyBorder="1" applyFill="1" applyFont="1">
      <alignment horizontal="center"/>
    </xf>
    <xf borderId="35" fillId="0" fontId="5" numFmtId="0" xfId="0" applyBorder="1" applyFont="1"/>
    <xf borderId="36" fillId="0" fontId="5" numFmtId="0" xfId="0" applyBorder="1" applyFont="1"/>
    <xf borderId="1" fillId="10" fontId="2" numFmtId="49" xfId="0" applyAlignment="1" applyBorder="1" applyFont="1" applyNumberFormat="1">
      <alignment horizontal="center" shrinkToFit="0" vertical="center" wrapText="1"/>
    </xf>
    <xf borderId="1" fillId="10" fontId="2" numFmtId="49" xfId="0" applyAlignment="1" applyBorder="1" applyFont="1" applyNumberFormat="1">
      <alignment horizontal="center" vertical="center"/>
    </xf>
    <xf borderId="1" fillId="10" fontId="23" numFmtId="49" xfId="0" applyAlignment="1" applyBorder="1" applyFont="1" applyNumberFormat="1">
      <alignment horizontal="center" vertical="center"/>
    </xf>
    <xf borderId="1" fillId="0" fontId="3" numFmtId="49" xfId="0" applyAlignment="1" applyBorder="1" applyFont="1" applyNumberFormat="1">
      <alignment horizontal="center"/>
    </xf>
    <xf borderId="1" fillId="0" fontId="3" numFmtId="49" xfId="0" applyBorder="1" applyFont="1" applyNumberFormat="1"/>
    <xf borderId="1" fillId="0" fontId="24" numFmtId="49"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workbookViewId="0"/>
  </sheetViews>
  <sheetFormatPr customHeight="1" defaultColWidth="12.63" defaultRowHeight="15.0"/>
  <cols>
    <col customWidth="1" min="1" max="1" width="17.0"/>
    <col customWidth="1" min="2" max="2" width="24.5"/>
    <col customWidth="1" min="3" max="26" width="10.63"/>
  </cols>
  <sheetData>
    <row r="1" ht="12.75" customHeight="1">
      <c r="A1" s="1" t="s">
        <v>0</v>
      </c>
      <c r="C1" s="2"/>
    </row>
    <row r="2" ht="12.75" customHeight="1"/>
    <row r="3" ht="12.75" customHeight="1">
      <c r="A3" s="3" t="s">
        <v>1</v>
      </c>
      <c r="B3" s="4"/>
    </row>
    <row r="4" ht="12.75" customHeight="1">
      <c r="A4" s="3" t="s">
        <v>2</v>
      </c>
      <c r="B4" s="4"/>
    </row>
    <row r="5" ht="12.75" customHeight="1">
      <c r="A5" s="3" t="s">
        <v>3</v>
      </c>
      <c r="B5" s="4"/>
    </row>
    <row r="6" ht="12.75" customHeight="1">
      <c r="A6" s="3" t="s">
        <v>4</v>
      </c>
      <c r="B6" s="4"/>
    </row>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B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63"/>
    <col customWidth="1" min="2" max="2" width="22.63"/>
    <col customWidth="1" min="3" max="3" width="10.63"/>
    <col customWidth="1" min="4" max="4" width="10.13"/>
    <col customWidth="1" min="5" max="5" width="11.38"/>
    <col customWidth="1" min="6" max="6" width="13.63"/>
    <col customWidth="1" min="7" max="7" width="11.38"/>
    <col customWidth="1" min="8" max="8" width="14.5"/>
    <col customWidth="1" min="9" max="11" width="11.38"/>
    <col customWidth="1" min="12" max="26" width="11.5"/>
  </cols>
  <sheetData>
    <row r="1" ht="26.25" customHeight="1">
      <c r="B1" s="5" t="s">
        <v>5</v>
      </c>
      <c r="C1" s="6"/>
      <c r="D1" s="6"/>
      <c r="E1" s="6"/>
      <c r="F1" s="6"/>
      <c r="G1" s="6"/>
      <c r="H1" s="6"/>
      <c r="I1" s="6"/>
      <c r="J1" s="6"/>
      <c r="K1" s="7"/>
    </row>
    <row r="2" ht="12.75" customHeight="1">
      <c r="B2" s="8"/>
      <c r="C2" s="9"/>
      <c r="D2" s="9"/>
      <c r="E2" s="9"/>
      <c r="F2" s="9"/>
      <c r="G2" s="9"/>
      <c r="H2" s="9"/>
      <c r="I2" s="9"/>
      <c r="J2" s="9"/>
      <c r="K2" s="9"/>
    </row>
    <row r="3" ht="12.75" customHeight="1">
      <c r="B3" s="8"/>
      <c r="C3" s="10" t="s">
        <v>6</v>
      </c>
      <c r="D3" s="9"/>
      <c r="E3" s="9"/>
      <c r="F3" s="9"/>
      <c r="G3" s="9"/>
      <c r="H3" s="9"/>
      <c r="I3" s="9"/>
      <c r="J3" s="9"/>
      <c r="K3" s="9"/>
    </row>
    <row r="4" ht="12.75" customHeight="1">
      <c r="B4" s="8"/>
      <c r="C4" s="8"/>
      <c r="D4" s="8"/>
      <c r="E4" s="8"/>
      <c r="F4" s="8"/>
      <c r="G4" s="8"/>
      <c r="H4" s="8"/>
      <c r="I4" s="8"/>
      <c r="J4" s="8"/>
      <c r="K4" s="8"/>
    </row>
    <row r="5" ht="12.75" customHeight="1">
      <c r="B5" s="8"/>
      <c r="C5" s="8"/>
      <c r="D5" s="8"/>
      <c r="E5" s="8"/>
      <c r="F5" s="8"/>
      <c r="G5" s="8"/>
      <c r="H5" s="8"/>
      <c r="I5" s="8"/>
      <c r="J5" s="8"/>
      <c r="K5" s="8"/>
    </row>
    <row r="6" ht="30.0" customHeight="1">
      <c r="B6" s="11" t="s">
        <v>7</v>
      </c>
      <c r="C6" s="11" t="s">
        <v>8</v>
      </c>
      <c r="D6" s="11" t="s">
        <v>9</v>
      </c>
      <c r="E6" s="11" t="s">
        <v>10</v>
      </c>
      <c r="F6" s="11" t="s">
        <v>11</v>
      </c>
      <c r="G6" s="11" t="s">
        <v>12</v>
      </c>
      <c r="H6" s="12" t="s">
        <v>13</v>
      </c>
      <c r="I6" s="11" t="s">
        <v>14</v>
      </c>
      <c r="J6" s="11" t="s">
        <v>15</v>
      </c>
      <c r="K6" s="11" t="s">
        <v>16</v>
      </c>
    </row>
    <row r="7" ht="12.75" customHeight="1">
      <c r="B7" s="13" t="s">
        <v>17</v>
      </c>
      <c r="C7" s="14">
        <v>4453.0</v>
      </c>
      <c r="D7" s="14">
        <v>772.8767403491</v>
      </c>
      <c r="E7" s="14">
        <v>8085.966968353</v>
      </c>
      <c r="F7" s="14">
        <v>7945.096197669</v>
      </c>
      <c r="G7" s="15">
        <f t="shared" ref="G7:G17" si="1">SUM(C7:F7)</f>
        <v>21256.93991</v>
      </c>
      <c r="H7" s="15">
        <f t="shared" ref="H7:H16" si="2">AVERAGE(C7:F7)</f>
        <v>5314.234977</v>
      </c>
      <c r="I7" s="15">
        <f t="shared" ref="I7:I16" si="3">min(C7:F7)</f>
        <v>772.8767403</v>
      </c>
      <c r="J7" s="15">
        <f t="shared" ref="J7:J16" si="4">max(C7:F7)</f>
        <v>8085.966968</v>
      </c>
      <c r="K7" s="16">
        <f t="shared" ref="K7:K16" si="5">G7/G$17</f>
        <v>0.1091815071</v>
      </c>
    </row>
    <row r="8" ht="12.75" customHeight="1">
      <c r="B8" s="13" t="s">
        <v>18</v>
      </c>
      <c r="C8" s="14">
        <v>6927.0</v>
      </c>
      <c r="D8" s="14">
        <v>9756.606919663</v>
      </c>
      <c r="E8" s="14">
        <v>300.0580107381</v>
      </c>
      <c r="F8" s="14">
        <v>7533.223458969</v>
      </c>
      <c r="G8" s="15">
        <f t="shared" si="1"/>
        <v>24516.88839</v>
      </c>
      <c r="H8" s="15">
        <f t="shared" si="2"/>
        <v>6129.222097</v>
      </c>
      <c r="I8" s="15">
        <f t="shared" si="3"/>
        <v>300.0580107</v>
      </c>
      <c r="J8" s="15">
        <f t="shared" si="4"/>
        <v>9756.60692</v>
      </c>
      <c r="K8" s="16">
        <f t="shared" si="5"/>
        <v>0.1259255017</v>
      </c>
    </row>
    <row r="9" ht="12.75" customHeight="1">
      <c r="B9" s="13" t="s">
        <v>19</v>
      </c>
      <c r="C9" s="14">
        <v>9451.090530171</v>
      </c>
      <c r="D9" s="14">
        <v>4823.596812751</v>
      </c>
      <c r="E9" s="14">
        <v>8207.798029412</v>
      </c>
      <c r="F9" s="14">
        <v>4447.946855613</v>
      </c>
      <c r="G9" s="15">
        <f t="shared" si="1"/>
        <v>26930.43223</v>
      </c>
      <c r="H9" s="15">
        <f t="shared" si="2"/>
        <v>6732.608057</v>
      </c>
      <c r="I9" s="15">
        <f t="shared" si="3"/>
        <v>4447.946856</v>
      </c>
      <c r="J9" s="15">
        <f t="shared" si="4"/>
        <v>9451.09053</v>
      </c>
      <c r="K9" s="16">
        <f t="shared" si="5"/>
        <v>0.1383221287</v>
      </c>
    </row>
    <row r="10" ht="12.75" customHeight="1">
      <c r="B10" s="13" t="s">
        <v>20</v>
      </c>
      <c r="C10" s="14">
        <v>8949.5689709198</v>
      </c>
      <c r="D10" s="14">
        <v>380.3634038691</v>
      </c>
      <c r="E10" s="14">
        <v>212.4893983085</v>
      </c>
      <c r="F10" s="14">
        <v>2521.880787372</v>
      </c>
      <c r="G10" s="15">
        <f t="shared" si="1"/>
        <v>12064.30256</v>
      </c>
      <c r="H10" s="15">
        <f t="shared" si="2"/>
        <v>3016.07564</v>
      </c>
      <c r="I10" s="15">
        <f t="shared" si="3"/>
        <v>212.4893983</v>
      </c>
      <c r="J10" s="15">
        <f t="shared" si="4"/>
        <v>8949.568971</v>
      </c>
      <c r="K10" s="16">
        <f t="shared" si="5"/>
        <v>0.06196558588</v>
      </c>
    </row>
    <row r="11" ht="12.75" customHeight="1">
      <c r="B11" s="13" t="s">
        <v>21</v>
      </c>
      <c r="C11" s="14">
        <v>3054.712778859</v>
      </c>
      <c r="D11" s="14">
        <v>5997.701172353</v>
      </c>
      <c r="E11" s="14">
        <v>86.7136791666</v>
      </c>
      <c r="F11" s="14">
        <v>6278.543095247</v>
      </c>
      <c r="G11" s="15">
        <f t="shared" si="1"/>
        <v>15417.67073</v>
      </c>
      <c r="H11" s="15">
        <f t="shared" si="2"/>
        <v>3854.417681</v>
      </c>
      <c r="I11" s="15">
        <f t="shared" si="3"/>
        <v>86.71367917</v>
      </c>
      <c r="J11" s="15">
        <f t="shared" si="4"/>
        <v>6278.543095</v>
      </c>
      <c r="K11" s="16">
        <f t="shared" si="5"/>
        <v>0.0791894098</v>
      </c>
    </row>
    <row r="12" ht="12.75" customHeight="1">
      <c r="B12" s="13" t="s">
        <v>22</v>
      </c>
      <c r="C12" s="14">
        <v>7235.238423818</v>
      </c>
      <c r="D12" s="14">
        <v>2940.060321115</v>
      </c>
      <c r="E12" s="14">
        <v>9995.913667722</v>
      </c>
      <c r="F12" s="14">
        <v>5531.630698183</v>
      </c>
      <c r="G12" s="15">
        <f t="shared" si="1"/>
        <v>25702.84311</v>
      </c>
      <c r="H12" s="15">
        <f t="shared" si="2"/>
        <v>6425.710778</v>
      </c>
      <c r="I12" s="15">
        <f t="shared" si="3"/>
        <v>2940.060321</v>
      </c>
      <c r="J12" s="15">
        <f t="shared" si="4"/>
        <v>9995.913668</v>
      </c>
      <c r="K12" s="16">
        <f t="shared" si="5"/>
        <v>0.1320168923</v>
      </c>
    </row>
    <row r="13" ht="12.75" customHeight="1">
      <c r="B13" s="13" t="s">
        <v>23</v>
      </c>
      <c r="C13" s="14">
        <v>1808.586850586</v>
      </c>
      <c r="D13" s="14">
        <v>7794.959608053</v>
      </c>
      <c r="E13" s="14">
        <v>9961.810690305</v>
      </c>
      <c r="F13" s="14">
        <v>3606.289483352</v>
      </c>
      <c r="G13" s="15">
        <f t="shared" si="1"/>
        <v>23171.64663</v>
      </c>
      <c r="H13" s="15">
        <f t="shared" si="2"/>
        <v>5792.911658</v>
      </c>
      <c r="I13" s="15">
        <f t="shared" si="3"/>
        <v>1808.586851</v>
      </c>
      <c r="J13" s="15">
        <f t="shared" si="4"/>
        <v>9961.81069</v>
      </c>
      <c r="K13" s="16">
        <f t="shared" si="5"/>
        <v>0.119015969</v>
      </c>
    </row>
    <row r="14" ht="12.75" customHeight="1">
      <c r="B14" s="13" t="s">
        <v>24</v>
      </c>
      <c r="C14" s="14">
        <v>5032.515997206</v>
      </c>
      <c r="D14" s="14">
        <v>5003.108556764</v>
      </c>
      <c r="E14" s="14">
        <v>1192.635977651</v>
      </c>
      <c r="F14" s="14">
        <v>8541.436512061</v>
      </c>
      <c r="G14" s="15">
        <f t="shared" si="1"/>
        <v>19769.69704</v>
      </c>
      <c r="H14" s="15">
        <f t="shared" si="2"/>
        <v>4942.424261</v>
      </c>
      <c r="I14" s="15">
        <f t="shared" si="3"/>
        <v>1192.635978</v>
      </c>
      <c r="J14" s="15">
        <f t="shared" si="4"/>
        <v>8541.436512</v>
      </c>
      <c r="K14" s="16">
        <f t="shared" si="5"/>
        <v>0.1015426175</v>
      </c>
    </row>
    <row r="15" ht="12.75" customHeight="1">
      <c r="B15" s="13" t="s">
        <v>25</v>
      </c>
      <c r="C15" s="14">
        <v>1111.484950844</v>
      </c>
      <c r="D15" s="14">
        <v>1557.2022395072</v>
      </c>
      <c r="E15" s="14">
        <v>8946.694200369</v>
      </c>
      <c r="F15" s="14">
        <v>1147.241821013</v>
      </c>
      <c r="G15" s="15">
        <f t="shared" si="1"/>
        <v>12762.62321</v>
      </c>
      <c r="H15" s="15">
        <f t="shared" si="2"/>
        <v>3190.655803</v>
      </c>
      <c r="I15" s="15">
        <f t="shared" si="3"/>
        <v>1111.484951</v>
      </c>
      <c r="J15" s="15">
        <f t="shared" si="4"/>
        <v>8946.6942</v>
      </c>
      <c r="K15" s="16">
        <f t="shared" si="5"/>
        <v>0.06555235338</v>
      </c>
    </row>
    <row r="16" ht="12.75" customHeight="1">
      <c r="B16" s="13" t="s">
        <v>26</v>
      </c>
      <c r="C16" s="14">
        <v>2725.424172694</v>
      </c>
      <c r="D16" s="14">
        <v>2054.300027511</v>
      </c>
      <c r="E16" s="14">
        <v>944.0701817381</v>
      </c>
      <c r="F16" s="14">
        <v>7376.75484947972</v>
      </c>
      <c r="G16" s="15">
        <f t="shared" si="1"/>
        <v>13100.54923</v>
      </c>
      <c r="H16" s="15">
        <f t="shared" si="2"/>
        <v>3275.137308</v>
      </c>
      <c r="I16" s="15">
        <f t="shared" si="3"/>
        <v>944.0701817</v>
      </c>
      <c r="J16" s="15">
        <f t="shared" si="4"/>
        <v>7376.754849</v>
      </c>
      <c r="K16" s="16">
        <f t="shared" si="5"/>
        <v>0.06728803463</v>
      </c>
    </row>
    <row r="17" ht="12.75" customHeight="1">
      <c r="B17" s="17" t="s">
        <v>27</v>
      </c>
      <c r="C17" s="15">
        <f t="shared" ref="C17:F17" si="6">SUM(C7:C16)</f>
        <v>50748.62268</v>
      </c>
      <c r="D17" s="15">
        <f t="shared" si="6"/>
        <v>41080.7758</v>
      </c>
      <c r="E17" s="15">
        <f t="shared" si="6"/>
        <v>47934.1508</v>
      </c>
      <c r="F17" s="15">
        <f t="shared" si="6"/>
        <v>54930.04376</v>
      </c>
      <c r="G17" s="15">
        <f t="shared" si="1"/>
        <v>194693.593</v>
      </c>
      <c r="H17" s="18"/>
      <c r="I17" s="18"/>
      <c r="J17" s="19"/>
      <c r="K17" s="20"/>
    </row>
    <row r="18" ht="12.75" customHeight="1">
      <c r="B18" s="21" t="s">
        <v>28</v>
      </c>
      <c r="C18" s="15">
        <f t="shared" ref="C18:F18" si="7">min(C7:C16)</f>
        <v>1111.484951</v>
      </c>
      <c r="D18" s="15">
        <f t="shared" si="7"/>
        <v>380.3634039</v>
      </c>
      <c r="E18" s="15">
        <f t="shared" si="7"/>
        <v>86.71367917</v>
      </c>
      <c r="F18" s="15">
        <f t="shared" si="7"/>
        <v>1147.241821</v>
      </c>
      <c r="G18" s="22"/>
      <c r="H18" s="22"/>
      <c r="I18" s="22"/>
      <c r="J18" s="22"/>
      <c r="K18" s="22"/>
    </row>
    <row r="19" ht="12.75" customHeight="1">
      <c r="B19" s="21" t="s">
        <v>29</v>
      </c>
      <c r="C19" s="15">
        <f t="shared" ref="C19:F19" si="8">max(C7:C16)</f>
        <v>9451.09053</v>
      </c>
      <c r="D19" s="15">
        <f t="shared" si="8"/>
        <v>9756.60692</v>
      </c>
      <c r="E19" s="15">
        <f t="shared" si="8"/>
        <v>9995.913668</v>
      </c>
      <c r="F19" s="15">
        <f t="shared" si="8"/>
        <v>8541.436512</v>
      </c>
      <c r="G19" s="22"/>
      <c r="H19" s="22"/>
      <c r="I19" s="22"/>
      <c r="J19" s="22"/>
      <c r="K19" s="22"/>
    </row>
    <row r="20" ht="12.75" customHeight="1">
      <c r="B20" s="21" t="s">
        <v>30</v>
      </c>
      <c r="C20" s="15">
        <f t="shared" ref="C20:F20" si="9">AVERAGE(C7:C16)</f>
        <v>5074.862268</v>
      </c>
      <c r="D20" s="15">
        <f t="shared" si="9"/>
        <v>4108.07758</v>
      </c>
      <c r="E20" s="15">
        <f t="shared" si="9"/>
        <v>4793.41508</v>
      </c>
      <c r="F20" s="15">
        <f t="shared" si="9"/>
        <v>5493.004376</v>
      </c>
      <c r="G20" s="22"/>
      <c r="H20" s="22"/>
      <c r="I20" s="22"/>
      <c r="J20" s="22"/>
      <c r="K20" s="22"/>
    </row>
    <row r="21" ht="12.75" customHeight="1">
      <c r="B21" s="21" t="s">
        <v>31</v>
      </c>
      <c r="C21" s="15">
        <f t="shared" ref="C21:F21" si="10">STDEV(C7:C16)</f>
        <v>2955.759899</v>
      </c>
      <c r="D21" s="15">
        <f t="shared" si="10"/>
        <v>3117.893832</v>
      </c>
      <c r="E21" s="15">
        <f t="shared" si="10"/>
        <v>4529.387784</v>
      </c>
      <c r="F21" s="15">
        <f t="shared" si="10"/>
        <v>2494.445641</v>
      </c>
      <c r="G21" s="22"/>
      <c r="H21" s="22"/>
      <c r="I21" s="22"/>
      <c r="J21" s="22"/>
      <c r="K21" s="22"/>
    </row>
    <row r="22" ht="12.75" customHeight="1"/>
    <row r="23" ht="12.75" customHeight="1">
      <c r="C23" s="23" t="s">
        <v>32</v>
      </c>
      <c r="D23" s="24"/>
      <c r="E23" s="24"/>
      <c r="F23" s="24"/>
      <c r="G23" s="24"/>
      <c r="H23" s="25"/>
    </row>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B1:K1"/>
    <mergeCell ref="C23:H23"/>
  </mergeCells>
  <printOptions/>
  <pageMargins bottom="1.025" footer="0.0" header="0.0" left="0.7875" right="0.7875" top="1.025"/>
  <pageSetup paperSize="9" orientation="portrait"/>
  <headerFooter>
    <oddHeader>&amp;C&amp;A</oddHeader>
    <oddFooter>&amp;CPage &amp;P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3.5"/>
    <col customWidth="1" min="2" max="2" width="22.13"/>
    <col customWidth="1" min="3" max="3" width="7.63"/>
    <col customWidth="1" min="4" max="4" width="7.0"/>
    <col customWidth="1" min="5" max="26" width="11.5"/>
  </cols>
  <sheetData>
    <row r="1" ht="15.0" customHeight="1">
      <c r="A1" s="26" t="s">
        <v>33</v>
      </c>
      <c r="B1" s="27" t="s">
        <v>34</v>
      </c>
      <c r="C1" s="8"/>
      <c r="D1" s="8"/>
      <c r="E1" s="8"/>
      <c r="F1" s="8"/>
      <c r="G1" s="8"/>
      <c r="H1" s="8"/>
      <c r="I1" s="8"/>
      <c r="J1" s="8"/>
      <c r="K1" s="8"/>
      <c r="L1" s="8"/>
      <c r="M1" s="8"/>
      <c r="N1" s="8"/>
      <c r="O1" s="8"/>
      <c r="P1" s="8"/>
      <c r="Q1" s="8"/>
      <c r="R1" s="8"/>
      <c r="S1" s="8"/>
      <c r="T1" s="8"/>
      <c r="U1" s="8"/>
      <c r="V1" s="8"/>
      <c r="W1" s="8"/>
      <c r="X1" s="8"/>
      <c r="Y1" s="8"/>
      <c r="Z1" s="8"/>
    </row>
    <row r="2" ht="15.0" customHeight="1">
      <c r="A2" s="28" t="s">
        <v>35</v>
      </c>
      <c r="B2" s="29">
        <v>130000.0</v>
      </c>
      <c r="C2" s="8"/>
      <c r="D2" s="8"/>
      <c r="E2" s="8"/>
      <c r="F2" s="8"/>
      <c r="G2" s="8"/>
      <c r="H2" s="8"/>
      <c r="I2" s="8"/>
      <c r="J2" s="8"/>
      <c r="K2" s="8"/>
      <c r="L2" s="8"/>
      <c r="M2" s="8"/>
      <c r="N2" s="8"/>
      <c r="O2" s="8"/>
      <c r="P2" s="8"/>
      <c r="Q2" s="8"/>
      <c r="R2" s="8"/>
      <c r="S2" s="8"/>
      <c r="T2" s="8"/>
      <c r="U2" s="8"/>
      <c r="V2" s="8"/>
      <c r="W2" s="8"/>
      <c r="X2" s="8"/>
      <c r="Y2" s="8"/>
      <c r="Z2" s="8"/>
    </row>
    <row r="3" ht="15.0" customHeight="1">
      <c r="A3" s="28" t="s">
        <v>36</v>
      </c>
      <c r="B3" s="30">
        <v>10.0</v>
      </c>
      <c r="C3" s="8"/>
      <c r="D3" s="31" t="s">
        <v>37</v>
      </c>
      <c r="E3" s="32"/>
      <c r="F3" s="32"/>
      <c r="G3" s="32"/>
      <c r="H3" s="32"/>
      <c r="I3" s="32"/>
      <c r="J3" s="33"/>
      <c r="K3" s="8"/>
      <c r="L3" s="8"/>
      <c r="M3" s="8"/>
      <c r="N3" s="8"/>
      <c r="O3" s="8"/>
      <c r="P3" s="8"/>
      <c r="Q3" s="8"/>
      <c r="R3" s="8"/>
      <c r="S3" s="8"/>
      <c r="T3" s="8"/>
      <c r="U3" s="8"/>
      <c r="V3" s="8"/>
      <c r="W3" s="8"/>
      <c r="X3" s="8"/>
      <c r="Y3" s="8"/>
      <c r="Z3" s="8"/>
    </row>
    <row r="4" ht="15.0" customHeight="1">
      <c r="A4" s="28" t="s">
        <v>38</v>
      </c>
      <c r="B4" s="34">
        <v>0.055</v>
      </c>
      <c r="C4" s="8"/>
      <c r="D4" s="35"/>
      <c r="J4" s="36"/>
      <c r="K4" s="8"/>
      <c r="L4" s="8"/>
      <c r="M4" s="8"/>
      <c r="N4" s="8"/>
      <c r="O4" s="8"/>
      <c r="P4" s="8"/>
      <c r="Q4" s="8"/>
      <c r="R4" s="8"/>
      <c r="S4" s="8"/>
      <c r="T4" s="8"/>
      <c r="U4" s="8"/>
      <c r="V4" s="8"/>
      <c r="W4" s="8"/>
      <c r="X4" s="8"/>
      <c r="Y4" s="8"/>
      <c r="Z4" s="8"/>
    </row>
    <row r="5" ht="15.0" customHeight="1">
      <c r="A5" s="28" t="s">
        <v>39</v>
      </c>
      <c r="B5" s="37">
        <f>PMT(B4/12 , B3*12 ,-B2,0,0)</f>
        <v>1410.841613</v>
      </c>
      <c r="C5" s="8"/>
      <c r="D5" s="35"/>
      <c r="J5" s="36"/>
      <c r="K5" s="8"/>
      <c r="L5" s="8"/>
      <c r="M5" s="8"/>
      <c r="N5" s="8"/>
      <c r="O5" s="8"/>
      <c r="P5" s="8"/>
      <c r="Q5" s="8"/>
      <c r="R5" s="8"/>
      <c r="S5" s="8"/>
      <c r="T5" s="8"/>
      <c r="U5" s="8"/>
      <c r="V5" s="8"/>
      <c r="W5" s="8"/>
      <c r="X5" s="8"/>
      <c r="Y5" s="8"/>
      <c r="Z5" s="8"/>
    </row>
    <row r="6" ht="12.75" customHeight="1">
      <c r="A6" s="8"/>
      <c r="B6" s="8"/>
      <c r="C6" s="8"/>
      <c r="D6" s="38"/>
      <c r="E6" s="39"/>
      <c r="F6" s="39"/>
      <c r="G6" s="39"/>
      <c r="H6" s="39"/>
      <c r="I6" s="39"/>
      <c r="J6" s="40"/>
      <c r="K6" s="8"/>
      <c r="L6" s="8"/>
      <c r="M6" s="8"/>
      <c r="N6" s="8"/>
      <c r="O6" s="8"/>
      <c r="P6" s="8"/>
      <c r="Q6" s="8"/>
      <c r="R6" s="8"/>
      <c r="S6" s="8"/>
      <c r="T6" s="8"/>
      <c r="U6" s="8"/>
      <c r="V6" s="8"/>
      <c r="W6" s="8"/>
      <c r="X6" s="8"/>
      <c r="Y6" s="8"/>
      <c r="Z6" s="8"/>
    </row>
    <row r="7" ht="12.75" customHeight="1">
      <c r="A7" s="8"/>
      <c r="B7" s="8"/>
      <c r="C7" s="8"/>
      <c r="D7" s="8"/>
      <c r="E7" s="8"/>
      <c r="F7" s="8"/>
      <c r="G7" s="8"/>
      <c r="H7" s="8"/>
      <c r="I7" s="8"/>
      <c r="J7" s="8"/>
      <c r="K7" s="8"/>
      <c r="L7" s="8"/>
      <c r="M7" s="8"/>
      <c r="N7" s="8"/>
      <c r="O7" s="8"/>
      <c r="P7" s="8"/>
      <c r="Q7" s="8"/>
      <c r="R7" s="8"/>
      <c r="S7" s="8"/>
      <c r="T7" s="8"/>
      <c r="U7" s="8"/>
      <c r="V7" s="8"/>
      <c r="W7" s="8"/>
      <c r="X7" s="8"/>
      <c r="Y7" s="8"/>
      <c r="Z7" s="8"/>
    </row>
    <row r="8" ht="12.75" customHeight="1">
      <c r="A8" s="8"/>
      <c r="B8" s="8"/>
      <c r="C8" s="8"/>
      <c r="D8" s="8"/>
      <c r="E8" s="8"/>
      <c r="F8" s="8"/>
      <c r="G8" s="8"/>
      <c r="H8" s="8"/>
      <c r="I8" s="8"/>
      <c r="J8" s="8"/>
      <c r="K8" s="8"/>
      <c r="L8" s="8"/>
      <c r="M8" s="8"/>
      <c r="N8" s="8"/>
      <c r="O8" s="8"/>
      <c r="P8" s="8"/>
      <c r="Q8" s="8"/>
      <c r="R8" s="8"/>
      <c r="S8" s="8"/>
      <c r="T8" s="8"/>
      <c r="U8" s="8"/>
      <c r="V8" s="8"/>
      <c r="W8" s="8"/>
      <c r="X8" s="8"/>
      <c r="Y8" s="8"/>
      <c r="Z8" s="8"/>
    </row>
    <row r="9" ht="12.75" customHeight="1">
      <c r="A9" s="8"/>
      <c r="B9" s="8"/>
      <c r="C9" s="8"/>
      <c r="D9" s="8"/>
      <c r="E9" s="8"/>
      <c r="F9" s="8"/>
      <c r="G9" s="8"/>
      <c r="H9" s="8"/>
      <c r="I9" s="8"/>
      <c r="J9" s="8"/>
      <c r="K9" s="8"/>
      <c r="L9" s="8"/>
      <c r="M9" s="8"/>
      <c r="N9" s="8"/>
      <c r="O9" s="8"/>
      <c r="P9" s="8"/>
      <c r="Q9" s="8"/>
      <c r="R9" s="8"/>
      <c r="S9" s="8"/>
      <c r="T9" s="8"/>
      <c r="U9" s="8"/>
      <c r="V9" s="8"/>
      <c r="W9" s="8"/>
      <c r="X9" s="8"/>
      <c r="Y9" s="8"/>
      <c r="Z9" s="8"/>
    </row>
    <row r="10" ht="12.75" customHeight="1">
      <c r="A10" s="8"/>
      <c r="B10" s="8"/>
      <c r="C10" s="8"/>
      <c r="D10" s="8"/>
      <c r="E10" s="8"/>
      <c r="F10" s="8"/>
      <c r="G10" s="8"/>
      <c r="H10" s="8"/>
      <c r="I10" s="8"/>
      <c r="J10" s="8"/>
      <c r="K10" s="8"/>
      <c r="L10" s="8"/>
      <c r="M10" s="8"/>
      <c r="N10" s="8"/>
      <c r="O10" s="8"/>
      <c r="P10" s="8"/>
      <c r="Q10" s="8"/>
      <c r="R10" s="8"/>
      <c r="S10" s="8"/>
      <c r="T10" s="8"/>
      <c r="U10" s="8"/>
      <c r="V10" s="8"/>
      <c r="W10" s="8"/>
      <c r="X10" s="8"/>
      <c r="Y10" s="8"/>
      <c r="Z10" s="8"/>
    </row>
    <row r="11" ht="12.75" customHeight="1">
      <c r="A11" s="8"/>
      <c r="B11" s="8"/>
      <c r="C11" s="8"/>
      <c r="D11" s="8"/>
      <c r="E11" s="8"/>
      <c r="F11" s="8"/>
      <c r="G11" s="8"/>
      <c r="H11" s="8"/>
      <c r="I11" s="8"/>
      <c r="J11" s="8"/>
      <c r="K11" s="8"/>
      <c r="L11" s="8"/>
      <c r="M11" s="8"/>
      <c r="N11" s="8"/>
      <c r="O11" s="8"/>
      <c r="P11" s="8"/>
      <c r="Q11" s="8"/>
      <c r="R11" s="8"/>
      <c r="S11" s="8"/>
      <c r="T11" s="8"/>
      <c r="U11" s="8"/>
      <c r="V11" s="8"/>
      <c r="W11" s="8"/>
      <c r="X11" s="8"/>
      <c r="Y11" s="8"/>
      <c r="Z11" s="8"/>
    </row>
    <row r="12" ht="12.75" customHeight="1">
      <c r="A12" s="8"/>
      <c r="B12" s="8"/>
      <c r="C12" s="8"/>
      <c r="D12" s="8"/>
      <c r="E12" s="8"/>
      <c r="F12" s="8"/>
      <c r="G12" s="8"/>
      <c r="H12" s="8"/>
      <c r="I12" s="8"/>
      <c r="J12" s="8"/>
      <c r="K12" s="8"/>
      <c r="L12" s="8"/>
      <c r="M12" s="8"/>
      <c r="N12" s="8"/>
      <c r="O12" s="8"/>
      <c r="P12" s="8"/>
      <c r="Q12" s="8"/>
      <c r="R12" s="8"/>
      <c r="S12" s="8"/>
      <c r="T12" s="8"/>
      <c r="U12" s="8"/>
      <c r="V12" s="8"/>
      <c r="W12" s="8"/>
      <c r="X12" s="8"/>
      <c r="Y12" s="8"/>
      <c r="Z12" s="8"/>
    </row>
    <row r="13" ht="12.75" customHeight="1">
      <c r="A13" s="8"/>
      <c r="B13" s="8"/>
      <c r="C13" s="8"/>
      <c r="D13" s="8"/>
      <c r="E13" s="8"/>
      <c r="F13" s="8"/>
      <c r="G13" s="8"/>
      <c r="H13" s="8"/>
      <c r="I13" s="8"/>
      <c r="J13" s="8"/>
      <c r="K13" s="8"/>
      <c r="L13" s="8"/>
      <c r="M13" s="8"/>
      <c r="N13" s="8"/>
      <c r="O13" s="8"/>
      <c r="P13" s="8"/>
      <c r="Q13" s="8"/>
      <c r="R13" s="8"/>
      <c r="S13" s="8"/>
      <c r="T13" s="8"/>
      <c r="U13" s="8"/>
      <c r="V13" s="8"/>
      <c r="W13" s="8"/>
      <c r="X13" s="8"/>
      <c r="Y13" s="8"/>
      <c r="Z13" s="8"/>
    </row>
    <row r="14" ht="12.75" customHeight="1">
      <c r="A14" s="8"/>
      <c r="B14" s="8"/>
      <c r="C14" s="8"/>
      <c r="D14" s="8"/>
      <c r="E14" s="8"/>
      <c r="F14" s="8"/>
      <c r="G14" s="8"/>
      <c r="H14" s="8"/>
      <c r="I14" s="8"/>
      <c r="J14" s="8"/>
      <c r="K14" s="8"/>
      <c r="L14" s="8"/>
      <c r="M14" s="8"/>
      <c r="N14" s="8"/>
      <c r="O14" s="8"/>
      <c r="P14" s="8"/>
      <c r="Q14" s="8"/>
      <c r="R14" s="8"/>
      <c r="S14" s="8"/>
      <c r="T14" s="8"/>
      <c r="U14" s="8"/>
      <c r="V14" s="8"/>
      <c r="W14" s="8"/>
      <c r="X14" s="8"/>
      <c r="Y14" s="8"/>
      <c r="Z14" s="8"/>
    </row>
    <row r="15" ht="12.75" customHeight="1">
      <c r="A15" s="8"/>
      <c r="B15" s="8"/>
      <c r="C15" s="8"/>
      <c r="D15" s="8"/>
      <c r="E15" s="8"/>
      <c r="F15" s="8"/>
      <c r="G15" s="8"/>
      <c r="H15" s="8"/>
      <c r="I15" s="8"/>
      <c r="J15" s="8"/>
      <c r="K15" s="8"/>
      <c r="L15" s="8"/>
      <c r="M15" s="8"/>
      <c r="N15" s="8"/>
      <c r="O15" s="8"/>
      <c r="P15" s="8"/>
      <c r="Q15" s="8"/>
      <c r="R15" s="8"/>
      <c r="S15" s="8"/>
      <c r="T15" s="8"/>
      <c r="U15" s="8"/>
      <c r="V15" s="8"/>
      <c r="W15" s="8"/>
      <c r="X15" s="8"/>
      <c r="Y15" s="8"/>
      <c r="Z15" s="8"/>
    </row>
    <row r="16" ht="12.75" customHeight="1">
      <c r="A16" s="8"/>
      <c r="B16" s="8"/>
      <c r="C16" s="8"/>
      <c r="D16" s="8"/>
      <c r="E16" s="8"/>
      <c r="F16" s="8"/>
      <c r="G16" s="8"/>
      <c r="H16" s="8"/>
      <c r="I16" s="8"/>
      <c r="J16" s="8"/>
      <c r="K16" s="8"/>
      <c r="L16" s="8"/>
      <c r="M16" s="8"/>
      <c r="N16" s="8"/>
      <c r="O16" s="8"/>
      <c r="P16" s="8"/>
      <c r="Q16" s="8"/>
      <c r="R16" s="8"/>
      <c r="S16" s="8"/>
      <c r="T16" s="8"/>
      <c r="U16" s="8"/>
      <c r="V16" s="8"/>
      <c r="W16" s="8"/>
      <c r="X16" s="8"/>
      <c r="Y16" s="8"/>
      <c r="Z16" s="8"/>
    </row>
    <row r="17" ht="12.75" customHeight="1">
      <c r="A17" s="8"/>
      <c r="B17" s="8"/>
      <c r="C17" s="8"/>
      <c r="D17" s="8"/>
      <c r="E17" s="8"/>
      <c r="F17" s="8"/>
      <c r="G17" s="8"/>
      <c r="H17" s="8"/>
      <c r="I17" s="8"/>
      <c r="J17" s="8"/>
      <c r="K17" s="8"/>
      <c r="L17" s="8"/>
      <c r="M17" s="8"/>
      <c r="N17" s="8"/>
      <c r="O17" s="8"/>
      <c r="P17" s="8"/>
      <c r="Q17" s="8"/>
      <c r="R17" s="8"/>
      <c r="S17" s="8"/>
      <c r="T17" s="8"/>
      <c r="U17" s="8"/>
      <c r="V17" s="8"/>
      <c r="W17" s="8"/>
      <c r="X17" s="8"/>
      <c r="Y17" s="8"/>
      <c r="Z17" s="8"/>
    </row>
    <row r="18" ht="12.75" customHeight="1">
      <c r="A18" s="8"/>
      <c r="B18" s="8"/>
      <c r="C18" s="8"/>
      <c r="D18" s="8"/>
      <c r="E18" s="8"/>
      <c r="F18" s="8"/>
      <c r="G18" s="8"/>
      <c r="H18" s="8"/>
      <c r="I18" s="8"/>
      <c r="J18" s="8"/>
      <c r="K18" s="8"/>
      <c r="L18" s="8"/>
      <c r="M18" s="8"/>
      <c r="N18" s="8"/>
      <c r="O18" s="8"/>
      <c r="P18" s="8"/>
      <c r="Q18" s="8"/>
      <c r="R18" s="8"/>
      <c r="S18" s="8"/>
      <c r="T18" s="8"/>
      <c r="U18" s="8"/>
      <c r="V18" s="8"/>
      <c r="W18" s="8"/>
      <c r="X18" s="8"/>
      <c r="Y18" s="8"/>
      <c r="Z18" s="8"/>
    </row>
    <row r="19" ht="12.75" customHeight="1">
      <c r="A19" s="8"/>
      <c r="B19" s="8"/>
      <c r="C19" s="8"/>
      <c r="D19" s="8"/>
      <c r="E19" s="8"/>
      <c r="F19" s="8"/>
      <c r="G19" s="8"/>
      <c r="H19" s="8"/>
      <c r="I19" s="8"/>
      <c r="J19" s="8"/>
      <c r="K19" s="8"/>
      <c r="L19" s="8"/>
      <c r="M19" s="8"/>
      <c r="N19" s="8"/>
      <c r="O19" s="8"/>
      <c r="P19" s="8"/>
      <c r="Q19" s="8"/>
      <c r="R19" s="8"/>
      <c r="S19" s="8"/>
      <c r="T19" s="8"/>
      <c r="U19" s="8"/>
      <c r="V19" s="8"/>
      <c r="W19" s="8"/>
      <c r="X19" s="8"/>
      <c r="Y19" s="8"/>
      <c r="Z19" s="8"/>
    </row>
    <row r="20" ht="12.75" customHeight="1">
      <c r="A20" s="8"/>
      <c r="B20" s="8"/>
      <c r="C20" s="8"/>
      <c r="D20" s="8"/>
      <c r="E20" s="8"/>
      <c r="F20" s="8"/>
      <c r="G20" s="8"/>
      <c r="H20" s="8"/>
      <c r="I20" s="8"/>
      <c r="J20" s="8"/>
      <c r="K20" s="8"/>
      <c r="L20" s="8"/>
      <c r="M20" s="8"/>
      <c r="N20" s="8"/>
      <c r="O20" s="8"/>
      <c r="P20" s="8"/>
      <c r="Q20" s="8"/>
      <c r="R20" s="8"/>
      <c r="S20" s="8"/>
      <c r="T20" s="8"/>
      <c r="U20" s="8"/>
      <c r="V20" s="8"/>
      <c r="W20" s="8"/>
      <c r="X20" s="8"/>
      <c r="Y20" s="8"/>
      <c r="Z20" s="8"/>
    </row>
    <row r="21" ht="12.75" customHeight="1">
      <c r="A21" s="8"/>
      <c r="B21" s="8"/>
      <c r="C21" s="8"/>
      <c r="D21" s="8"/>
      <c r="E21" s="8"/>
      <c r="F21" s="8"/>
      <c r="G21" s="8"/>
      <c r="H21" s="8"/>
      <c r="I21" s="8"/>
      <c r="J21" s="8"/>
      <c r="K21" s="8"/>
      <c r="L21" s="8"/>
      <c r="M21" s="8"/>
      <c r="N21" s="8"/>
      <c r="O21" s="8"/>
      <c r="P21" s="8"/>
      <c r="Q21" s="8"/>
      <c r="R21" s="8"/>
      <c r="S21" s="8"/>
      <c r="T21" s="8"/>
      <c r="U21" s="8"/>
      <c r="V21" s="8"/>
      <c r="W21" s="8"/>
      <c r="X21" s="8"/>
      <c r="Y21" s="8"/>
      <c r="Z21" s="8"/>
    </row>
    <row r="22" ht="12.75" customHeight="1">
      <c r="A22" s="8"/>
      <c r="B22" s="8"/>
      <c r="C22" s="8"/>
      <c r="D22" s="8"/>
      <c r="E22" s="8"/>
      <c r="F22" s="8"/>
      <c r="G22" s="8"/>
      <c r="H22" s="8"/>
      <c r="I22" s="8"/>
      <c r="J22" s="8"/>
      <c r="K22" s="8"/>
      <c r="L22" s="8"/>
      <c r="M22" s="8"/>
      <c r="N22" s="8"/>
      <c r="O22" s="8"/>
      <c r="P22" s="8"/>
      <c r="Q22" s="8"/>
      <c r="R22" s="8"/>
      <c r="S22" s="8"/>
      <c r="T22" s="8"/>
      <c r="U22" s="8"/>
      <c r="V22" s="8"/>
      <c r="W22" s="8"/>
      <c r="X22" s="8"/>
      <c r="Y22" s="8"/>
      <c r="Z22" s="8"/>
    </row>
    <row r="23" ht="12.75" customHeight="1">
      <c r="A23" s="8"/>
      <c r="B23" s="8"/>
      <c r="C23" s="8"/>
      <c r="D23" s="8"/>
      <c r="E23" s="8"/>
      <c r="F23" s="8"/>
      <c r="G23" s="8"/>
      <c r="H23" s="8"/>
      <c r="I23" s="8"/>
      <c r="J23" s="8"/>
      <c r="K23" s="8"/>
      <c r="L23" s="8"/>
      <c r="M23" s="8"/>
      <c r="N23" s="8"/>
      <c r="O23" s="8"/>
      <c r="P23" s="8"/>
      <c r="Q23" s="8"/>
      <c r="R23" s="8"/>
      <c r="S23" s="8"/>
      <c r="T23" s="8"/>
      <c r="U23" s="8"/>
      <c r="V23" s="8"/>
      <c r="W23" s="8"/>
      <c r="X23" s="8"/>
      <c r="Y23" s="8"/>
      <c r="Z23" s="8"/>
    </row>
    <row r="24" ht="12.75"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12.75"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12.75"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12.75"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ht="12.75" customHeight="1">
      <c r="A28" s="8"/>
      <c r="B28" s="8"/>
      <c r="C28" s="8"/>
      <c r="D28" s="8"/>
      <c r="E28" s="8"/>
      <c r="F28" s="8"/>
      <c r="G28" s="8"/>
      <c r="H28" s="8"/>
      <c r="I28" s="8"/>
      <c r="J28" s="8"/>
      <c r="K28" s="8"/>
      <c r="L28" s="8"/>
      <c r="M28" s="8"/>
      <c r="N28" s="8"/>
      <c r="O28" s="8"/>
      <c r="P28" s="8"/>
      <c r="Q28" s="8"/>
      <c r="R28" s="8"/>
      <c r="S28" s="8"/>
      <c r="T28" s="8"/>
      <c r="U28" s="8"/>
      <c r="V28" s="8"/>
      <c r="W28" s="8"/>
      <c r="X28" s="8"/>
      <c r="Y28" s="8"/>
      <c r="Z28" s="8"/>
    </row>
    <row r="29" ht="12.75" customHeight="1">
      <c r="A29" s="8"/>
      <c r="B29" s="8"/>
      <c r="C29" s="8"/>
      <c r="D29" s="8"/>
      <c r="E29" s="8"/>
      <c r="F29" s="8"/>
      <c r="G29" s="8"/>
      <c r="H29" s="8"/>
      <c r="I29" s="8"/>
      <c r="J29" s="8"/>
      <c r="K29" s="8"/>
      <c r="L29" s="8"/>
      <c r="M29" s="8"/>
      <c r="N29" s="8"/>
      <c r="O29" s="8"/>
      <c r="P29" s="8"/>
      <c r="Q29" s="8"/>
      <c r="R29" s="8"/>
      <c r="S29" s="8"/>
      <c r="T29" s="8"/>
      <c r="U29" s="8"/>
      <c r="V29" s="8"/>
      <c r="W29" s="8"/>
      <c r="X29" s="8"/>
      <c r="Y29" s="8"/>
      <c r="Z29" s="8"/>
    </row>
    <row r="30" ht="12.75" customHeight="1">
      <c r="A30" s="8"/>
      <c r="B30" s="8"/>
      <c r="C30" s="8"/>
      <c r="D30" s="8"/>
      <c r="E30" s="8"/>
      <c r="F30" s="8"/>
      <c r="G30" s="8"/>
      <c r="H30" s="8"/>
      <c r="I30" s="8"/>
      <c r="J30" s="8"/>
      <c r="K30" s="8"/>
      <c r="L30" s="8"/>
      <c r="M30" s="8"/>
      <c r="N30" s="8"/>
      <c r="O30" s="8"/>
      <c r="P30" s="8"/>
      <c r="Q30" s="8"/>
      <c r="R30" s="8"/>
      <c r="S30" s="8"/>
      <c r="T30" s="8"/>
      <c r="U30" s="8"/>
      <c r="V30" s="8"/>
      <c r="W30" s="8"/>
      <c r="X30" s="8"/>
      <c r="Y30" s="8"/>
      <c r="Z30" s="8"/>
    </row>
    <row r="31" ht="12.75" customHeight="1">
      <c r="A31" s="8"/>
      <c r="B31" s="8"/>
      <c r="C31" s="8"/>
      <c r="D31" s="8"/>
      <c r="E31" s="8"/>
      <c r="F31" s="8"/>
      <c r="G31" s="8"/>
      <c r="H31" s="8"/>
      <c r="I31" s="8"/>
      <c r="J31" s="8"/>
      <c r="K31" s="8"/>
      <c r="L31" s="8"/>
      <c r="M31" s="8"/>
      <c r="N31" s="8"/>
      <c r="O31" s="8"/>
      <c r="P31" s="8"/>
      <c r="Q31" s="8"/>
      <c r="R31" s="8"/>
      <c r="S31" s="8"/>
      <c r="T31" s="8"/>
      <c r="U31" s="8"/>
      <c r="V31" s="8"/>
      <c r="W31" s="8"/>
      <c r="X31" s="8"/>
      <c r="Y31" s="8"/>
      <c r="Z31" s="8"/>
    </row>
    <row r="32" ht="12.75" customHeight="1">
      <c r="A32" s="8"/>
      <c r="B32" s="8"/>
      <c r="C32" s="8"/>
      <c r="D32" s="8"/>
      <c r="E32" s="8"/>
      <c r="F32" s="8"/>
      <c r="G32" s="8"/>
      <c r="H32" s="8"/>
      <c r="I32" s="8"/>
      <c r="J32" s="8"/>
      <c r="K32" s="8"/>
      <c r="L32" s="8"/>
      <c r="M32" s="8"/>
      <c r="N32" s="8"/>
      <c r="O32" s="8"/>
      <c r="P32" s="8"/>
      <c r="Q32" s="8"/>
      <c r="R32" s="8"/>
      <c r="S32" s="8"/>
      <c r="T32" s="8"/>
      <c r="U32" s="8"/>
      <c r="V32" s="8"/>
      <c r="W32" s="8"/>
      <c r="X32" s="8"/>
      <c r="Y32" s="8"/>
      <c r="Z32" s="8"/>
    </row>
    <row r="33" ht="12.75" customHeight="1">
      <c r="A33" s="8"/>
      <c r="B33" s="8"/>
      <c r="C33" s="8"/>
      <c r="D33" s="8"/>
      <c r="E33" s="8"/>
      <c r="F33" s="8"/>
      <c r="G33" s="8"/>
      <c r="H33" s="8"/>
      <c r="I33" s="8"/>
      <c r="J33" s="8"/>
      <c r="K33" s="8"/>
      <c r="L33" s="8"/>
      <c r="M33" s="8"/>
      <c r="N33" s="8"/>
      <c r="O33" s="8"/>
      <c r="P33" s="8"/>
      <c r="Q33" s="8"/>
      <c r="R33" s="8"/>
      <c r="S33" s="8"/>
      <c r="T33" s="8"/>
      <c r="U33" s="8"/>
      <c r="V33" s="8"/>
      <c r="W33" s="8"/>
      <c r="X33" s="8"/>
      <c r="Y33" s="8"/>
      <c r="Z33" s="8"/>
    </row>
    <row r="34" ht="12.75" customHeight="1">
      <c r="A34" s="8"/>
      <c r="B34" s="8"/>
      <c r="C34" s="8"/>
      <c r="D34" s="8"/>
      <c r="E34" s="8"/>
      <c r="F34" s="8"/>
      <c r="G34" s="8"/>
      <c r="H34" s="8"/>
      <c r="I34" s="8"/>
      <c r="J34" s="8"/>
      <c r="K34" s="8"/>
      <c r="L34" s="8"/>
      <c r="M34" s="8"/>
      <c r="N34" s="8"/>
      <c r="O34" s="8"/>
      <c r="P34" s="8"/>
      <c r="Q34" s="8"/>
      <c r="R34" s="8"/>
      <c r="S34" s="8"/>
      <c r="T34" s="8"/>
      <c r="U34" s="8"/>
      <c r="V34" s="8"/>
      <c r="W34" s="8"/>
      <c r="X34" s="8"/>
      <c r="Y34" s="8"/>
      <c r="Z34" s="8"/>
    </row>
    <row r="35" ht="12.75" customHeight="1">
      <c r="A35" s="8"/>
      <c r="B35" s="8"/>
      <c r="C35" s="8"/>
      <c r="D35" s="8"/>
      <c r="E35" s="8"/>
      <c r="F35" s="8"/>
      <c r="G35" s="8"/>
      <c r="H35" s="8"/>
      <c r="I35" s="8"/>
      <c r="J35" s="8"/>
      <c r="K35" s="8"/>
      <c r="L35" s="8"/>
      <c r="M35" s="8"/>
      <c r="N35" s="8"/>
      <c r="O35" s="8"/>
      <c r="P35" s="8"/>
      <c r="Q35" s="8"/>
      <c r="R35" s="8"/>
      <c r="S35" s="8"/>
      <c r="T35" s="8"/>
      <c r="U35" s="8"/>
      <c r="V35" s="8"/>
      <c r="W35" s="8"/>
      <c r="X35" s="8"/>
      <c r="Y35" s="8"/>
      <c r="Z35" s="8"/>
    </row>
    <row r="36" ht="12.75" customHeight="1">
      <c r="A36" s="8"/>
      <c r="B36" s="8"/>
      <c r="C36" s="8"/>
      <c r="D36" s="8"/>
      <c r="E36" s="8"/>
      <c r="F36" s="8"/>
      <c r="G36" s="8"/>
      <c r="H36" s="8"/>
      <c r="I36" s="8"/>
      <c r="J36" s="8"/>
      <c r="K36" s="8"/>
      <c r="L36" s="8"/>
      <c r="M36" s="8"/>
      <c r="N36" s="8"/>
      <c r="O36" s="8"/>
      <c r="P36" s="8"/>
      <c r="Q36" s="8"/>
      <c r="R36" s="8"/>
      <c r="S36" s="8"/>
      <c r="T36" s="8"/>
      <c r="U36" s="8"/>
      <c r="V36" s="8"/>
      <c r="W36" s="8"/>
      <c r="X36" s="8"/>
      <c r="Y36" s="8"/>
      <c r="Z36" s="8"/>
    </row>
    <row r="37" ht="12.75" customHeight="1">
      <c r="A37" s="8"/>
      <c r="B37" s="8"/>
      <c r="C37" s="8"/>
      <c r="D37" s="8"/>
      <c r="E37" s="8"/>
      <c r="F37" s="8"/>
      <c r="G37" s="8"/>
      <c r="H37" s="8"/>
      <c r="I37" s="8"/>
      <c r="J37" s="8"/>
      <c r="K37" s="8"/>
      <c r="L37" s="8"/>
      <c r="M37" s="8"/>
      <c r="N37" s="8"/>
      <c r="O37" s="8"/>
      <c r="P37" s="8"/>
      <c r="Q37" s="8"/>
      <c r="R37" s="8"/>
      <c r="S37" s="8"/>
      <c r="T37" s="8"/>
      <c r="U37" s="8"/>
      <c r="V37" s="8"/>
      <c r="W37" s="8"/>
      <c r="X37" s="8"/>
      <c r="Y37" s="8"/>
      <c r="Z37" s="8"/>
    </row>
    <row r="38" ht="12.75" customHeight="1">
      <c r="A38" s="8"/>
      <c r="B38" s="8"/>
      <c r="C38" s="8"/>
      <c r="D38" s="8"/>
      <c r="E38" s="8"/>
      <c r="F38" s="8"/>
      <c r="G38" s="8"/>
      <c r="H38" s="8"/>
      <c r="I38" s="8"/>
      <c r="J38" s="8"/>
      <c r="K38" s="8"/>
      <c r="L38" s="8"/>
      <c r="M38" s="8"/>
      <c r="N38" s="8"/>
      <c r="O38" s="8"/>
      <c r="P38" s="8"/>
      <c r="Q38" s="8"/>
      <c r="R38" s="8"/>
      <c r="S38" s="8"/>
      <c r="T38" s="8"/>
      <c r="U38" s="8"/>
      <c r="V38" s="8"/>
      <c r="W38" s="8"/>
      <c r="X38" s="8"/>
      <c r="Y38" s="8"/>
      <c r="Z38" s="8"/>
    </row>
    <row r="39" ht="12.75" customHeight="1">
      <c r="A39" s="8"/>
      <c r="B39" s="8"/>
      <c r="C39" s="8"/>
      <c r="D39" s="8"/>
      <c r="E39" s="8"/>
      <c r="F39" s="8"/>
      <c r="G39" s="8"/>
      <c r="H39" s="8"/>
      <c r="I39" s="8"/>
      <c r="J39" s="8"/>
      <c r="K39" s="8"/>
      <c r="L39" s="8"/>
      <c r="M39" s="8"/>
      <c r="N39" s="8"/>
      <c r="O39" s="8"/>
      <c r="P39" s="8"/>
      <c r="Q39" s="8"/>
      <c r="R39" s="8"/>
      <c r="S39" s="8"/>
      <c r="T39" s="8"/>
      <c r="U39" s="8"/>
      <c r="V39" s="8"/>
      <c r="W39" s="8"/>
      <c r="X39" s="8"/>
      <c r="Y39" s="8"/>
      <c r="Z39" s="8"/>
    </row>
    <row r="40" ht="12.75" customHeight="1">
      <c r="A40" s="8"/>
      <c r="B40" s="8"/>
      <c r="C40" s="8"/>
      <c r="D40" s="8"/>
      <c r="E40" s="8"/>
      <c r="F40" s="8"/>
      <c r="G40" s="8"/>
      <c r="H40" s="8"/>
      <c r="I40" s="8"/>
      <c r="J40" s="8"/>
      <c r="K40" s="8"/>
      <c r="L40" s="8"/>
      <c r="M40" s="8"/>
      <c r="N40" s="8"/>
      <c r="O40" s="8"/>
      <c r="P40" s="8"/>
      <c r="Q40" s="8"/>
      <c r="R40" s="8"/>
      <c r="S40" s="8"/>
      <c r="T40" s="8"/>
      <c r="U40" s="8"/>
      <c r="V40" s="8"/>
      <c r="W40" s="8"/>
      <c r="X40" s="8"/>
      <c r="Y40" s="8"/>
      <c r="Z40" s="8"/>
    </row>
    <row r="41" ht="12.75" customHeight="1">
      <c r="A41" s="8"/>
      <c r="B41" s="8"/>
      <c r="C41" s="8"/>
      <c r="D41" s="8"/>
      <c r="E41" s="8"/>
      <c r="F41" s="8"/>
      <c r="G41" s="8"/>
      <c r="H41" s="8"/>
      <c r="I41" s="8"/>
      <c r="J41" s="8"/>
      <c r="K41" s="8"/>
      <c r="L41" s="8"/>
      <c r="M41" s="8"/>
      <c r="N41" s="8"/>
      <c r="O41" s="8"/>
      <c r="P41" s="8"/>
      <c r="Q41" s="8"/>
      <c r="R41" s="8"/>
      <c r="S41" s="8"/>
      <c r="T41" s="8"/>
      <c r="U41" s="8"/>
      <c r="V41" s="8"/>
      <c r="W41" s="8"/>
      <c r="X41" s="8"/>
      <c r="Y41" s="8"/>
      <c r="Z41" s="8"/>
    </row>
    <row r="42" ht="12.75" customHeight="1">
      <c r="A42" s="8"/>
      <c r="B42" s="8"/>
      <c r="C42" s="8"/>
      <c r="D42" s="8"/>
      <c r="E42" s="8"/>
      <c r="F42" s="8"/>
      <c r="G42" s="8"/>
      <c r="H42" s="8"/>
      <c r="I42" s="8"/>
      <c r="J42" s="8"/>
      <c r="K42" s="8"/>
      <c r="L42" s="8"/>
      <c r="M42" s="8"/>
      <c r="N42" s="8"/>
      <c r="O42" s="8"/>
      <c r="P42" s="8"/>
      <c r="Q42" s="8"/>
      <c r="R42" s="8"/>
      <c r="S42" s="8"/>
      <c r="T42" s="8"/>
      <c r="U42" s="8"/>
      <c r="V42" s="8"/>
      <c r="W42" s="8"/>
      <c r="X42" s="8"/>
      <c r="Y42" s="8"/>
      <c r="Z42" s="8"/>
    </row>
    <row r="43" ht="12.75" customHeight="1">
      <c r="A43" s="8"/>
      <c r="B43" s="8"/>
      <c r="C43" s="8"/>
      <c r="D43" s="8"/>
      <c r="E43" s="8"/>
      <c r="F43" s="8"/>
      <c r="G43" s="8"/>
      <c r="H43" s="8"/>
      <c r="I43" s="8"/>
      <c r="J43" s="8"/>
      <c r="K43" s="8"/>
      <c r="L43" s="8"/>
      <c r="M43" s="8"/>
      <c r="N43" s="8"/>
      <c r="O43" s="8"/>
      <c r="P43" s="8"/>
      <c r="Q43" s="8"/>
      <c r="R43" s="8"/>
      <c r="S43" s="8"/>
      <c r="T43" s="8"/>
      <c r="U43" s="8"/>
      <c r="V43" s="8"/>
      <c r="W43" s="8"/>
      <c r="X43" s="8"/>
      <c r="Y43" s="8"/>
      <c r="Z43" s="8"/>
    </row>
    <row r="44" ht="12.75" customHeight="1">
      <c r="A44" s="8"/>
      <c r="B44" s="8"/>
      <c r="C44" s="8"/>
      <c r="D44" s="8"/>
      <c r="E44" s="8"/>
      <c r="F44" s="8"/>
      <c r="G44" s="8"/>
      <c r="H44" s="8"/>
      <c r="I44" s="8"/>
      <c r="J44" s="8"/>
      <c r="K44" s="8"/>
      <c r="L44" s="8"/>
      <c r="M44" s="8"/>
      <c r="N44" s="8"/>
      <c r="O44" s="8"/>
      <c r="P44" s="8"/>
      <c r="Q44" s="8"/>
      <c r="R44" s="8"/>
      <c r="S44" s="8"/>
      <c r="T44" s="8"/>
      <c r="U44" s="8"/>
      <c r="V44" s="8"/>
      <c r="W44" s="8"/>
      <c r="X44" s="8"/>
      <c r="Y44" s="8"/>
      <c r="Z44" s="8"/>
    </row>
    <row r="45" ht="12.75" customHeight="1">
      <c r="A45" s="8"/>
      <c r="B45" s="8"/>
      <c r="C45" s="8"/>
      <c r="D45" s="8"/>
      <c r="E45" s="8"/>
      <c r="F45" s="8"/>
      <c r="G45" s="8"/>
      <c r="H45" s="8"/>
      <c r="I45" s="8"/>
      <c r="J45" s="8"/>
      <c r="K45" s="8"/>
      <c r="L45" s="8"/>
      <c r="M45" s="8"/>
      <c r="N45" s="8"/>
      <c r="O45" s="8"/>
      <c r="P45" s="8"/>
      <c r="Q45" s="8"/>
      <c r="R45" s="8"/>
      <c r="S45" s="8"/>
      <c r="T45" s="8"/>
      <c r="U45" s="8"/>
      <c r="V45" s="8"/>
      <c r="W45" s="8"/>
      <c r="X45" s="8"/>
      <c r="Y45" s="8"/>
      <c r="Z45" s="8"/>
    </row>
    <row r="46" ht="12.75" customHeight="1">
      <c r="A46" s="8"/>
      <c r="B46" s="8"/>
      <c r="C46" s="8"/>
      <c r="D46" s="8"/>
      <c r="E46" s="8"/>
      <c r="F46" s="8"/>
      <c r="G46" s="8"/>
      <c r="H46" s="8"/>
      <c r="I46" s="8"/>
      <c r="J46" s="8"/>
      <c r="K46" s="8"/>
      <c r="L46" s="8"/>
      <c r="M46" s="8"/>
      <c r="N46" s="8"/>
      <c r="O46" s="8"/>
      <c r="P46" s="8"/>
      <c r="Q46" s="8"/>
      <c r="R46" s="8"/>
      <c r="S46" s="8"/>
      <c r="T46" s="8"/>
      <c r="U46" s="8"/>
      <c r="V46" s="8"/>
      <c r="W46" s="8"/>
      <c r="X46" s="8"/>
      <c r="Y46" s="8"/>
      <c r="Z46" s="8"/>
    </row>
    <row r="47" ht="12.75" customHeight="1">
      <c r="A47" s="8"/>
      <c r="B47" s="8"/>
      <c r="C47" s="8"/>
      <c r="D47" s="8"/>
      <c r="E47" s="8"/>
      <c r="F47" s="8"/>
      <c r="G47" s="8"/>
      <c r="H47" s="8"/>
      <c r="I47" s="8"/>
      <c r="J47" s="8"/>
      <c r="K47" s="8"/>
      <c r="L47" s="8"/>
      <c r="M47" s="8"/>
      <c r="N47" s="8"/>
      <c r="O47" s="8"/>
      <c r="P47" s="8"/>
      <c r="Q47" s="8"/>
      <c r="R47" s="8"/>
      <c r="S47" s="8"/>
      <c r="T47" s="8"/>
      <c r="U47" s="8"/>
      <c r="V47" s="8"/>
      <c r="W47" s="8"/>
      <c r="X47" s="8"/>
      <c r="Y47" s="8"/>
      <c r="Z47" s="8"/>
    </row>
    <row r="48" ht="12.75" customHeight="1">
      <c r="A48" s="8"/>
      <c r="B48" s="8"/>
      <c r="C48" s="8"/>
      <c r="D48" s="8"/>
      <c r="E48" s="8"/>
      <c r="F48" s="8"/>
      <c r="G48" s="8"/>
      <c r="H48" s="8"/>
      <c r="I48" s="8"/>
      <c r="J48" s="8"/>
      <c r="K48" s="8"/>
      <c r="L48" s="8"/>
      <c r="M48" s="8"/>
      <c r="N48" s="8"/>
      <c r="O48" s="8"/>
      <c r="P48" s="8"/>
      <c r="Q48" s="8"/>
      <c r="R48" s="8"/>
      <c r="S48" s="8"/>
      <c r="T48" s="8"/>
      <c r="U48" s="8"/>
      <c r="V48" s="8"/>
      <c r="W48" s="8"/>
      <c r="X48" s="8"/>
      <c r="Y48" s="8"/>
      <c r="Z48" s="8"/>
    </row>
    <row r="49" ht="12.75" customHeight="1">
      <c r="A49" s="8"/>
      <c r="B49" s="8"/>
      <c r="C49" s="8"/>
      <c r="D49" s="8"/>
      <c r="E49" s="8"/>
      <c r="F49" s="8"/>
      <c r="G49" s="8"/>
      <c r="H49" s="8"/>
      <c r="I49" s="8"/>
      <c r="J49" s="8"/>
      <c r="K49" s="8"/>
      <c r="L49" s="8"/>
      <c r="M49" s="8"/>
      <c r="N49" s="8"/>
      <c r="O49" s="8"/>
      <c r="P49" s="8"/>
      <c r="Q49" s="8"/>
      <c r="R49" s="8"/>
      <c r="S49" s="8"/>
      <c r="T49" s="8"/>
      <c r="U49" s="8"/>
      <c r="V49" s="8"/>
      <c r="W49" s="8"/>
      <c r="X49" s="8"/>
      <c r="Y49" s="8"/>
      <c r="Z49" s="8"/>
    </row>
    <row r="50" ht="12.75" customHeight="1">
      <c r="A50" s="8"/>
      <c r="B50" s="8"/>
      <c r="C50" s="8"/>
      <c r="D50" s="8"/>
      <c r="E50" s="8"/>
      <c r="F50" s="8"/>
      <c r="G50" s="8"/>
      <c r="H50" s="8"/>
      <c r="I50" s="8"/>
      <c r="J50" s="8"/>
      <c r="K50" s="8"/>
      <c r="L50" s="8"/>
      <c r="M50" s="8"/>
      <c r="N50" s="8"/>
      <c r="O50" s="8"/>
      <c r="P50" s="8"/>
      <c r="Q50" s="8"/>
      <c r="R50" s="8"/>
      <c r="S50" s="8"/>
      <c r="T50" s="8"/>
      <c r="U50" s="8"/>
      <c r="V50" s="8"/>
      <c r="W50" s="8"/>
      <c r="X50" s="8"/>
      <c r="Y50" s="8"/>
      <c r="Z50" s="8"/>
    </row>
    <row r="51" ht="12.75" customHeight="1">
      <c r="A51" s="8"/>
      <c r="B51" s="8"/>
      <c r="C51" s="8"/>
      <c r="D51" s="8"/>
      <c r="E51" s="8"/>
      <c r="F51" s="8"/>
      <c r="G51" s="8"/>
      <c r="H51" s="8"/>
      <c r="I51" s="8"/>
      <c r="J51" s="8"/>
      <c r="K51" s="8"/>
      <c r="L51" s="8"/>
      <c r="M51" s="8"/>
      <c r="N51" s="8"/>
      <c r="O51" s="8"/>
      <c r="P51" s="8"/>
      <c r="Q51" s="8"/>
      <c r="R51" s="8"/>
      <c r="S51" s="8"/>
      <c r="T51" s="8"/>
      <c r="U51" s="8"/>
      <c r="V51" s="8"/>
      <c r="W51" s="8"/>
      <c r="X51" s="8"/>
      <c r="Y51" s="8"/>
      <c r="Z51" s="8"/>
    </row>
    <row r="52" ht="12.75" customHeight="1">
      <c r="A52" s="8"/>
      <c r="B52" s="8"/>
      <c r="C52" s="8"/>
      <c r="D52" s="8"/>
      <c r="E52" s="8"/>
      <c r="F52" s="8"/>
      <c r="G52" s="8"/>
      <c r="H52" s="8"/>
      <c r="I52" s="8"/>
      <c r="J52" s="8"/>
      <c r="K52" s="8"/>
      <c r="L52" s="8"/>
      <c r="M52" s="8"/>
      <c r="N52" s="8"/>
      <c r="O52" s="8"/>
      <c r="P52" s="8"/>
      <c r="Q52" s="8"/>
      <c r="R52" s="8"/>
      <c r="S52" s="8"/>
      <c r="T52" s="8"/>
      <c r="U52" s="8"/>
      <c r="V52" s="8"/>
      <c r="W52" s="8"/>
      <c r="X52" s="8"/>
      <c r="Y52" s="8"/>
      <c r="Z52" s="8"/>
    </row>
    <row r="53" ht="12.75" customHeight="1">
      <c r="A53" s="8"/>
      <c r="B53" s="8"/>
      <c r="C53" s="8"/>
      <c r="D53" s="8"/>
      <c r="E53" s="8"/>
      <c r="F53" s="8"/>
      <c r="G53" s="8"/>
      <c r="H53" s="8"/>
      <c r="I53" s="8"/>
      <c r="J53" s="8"/>
      <c r="K53" s="8"/>
      <c r="L53" s="8"/>
      <c r="M53" s="8"/>
      <c r="N53" s="8"/>
      <c r="O53" s="8"/>
      <c r="P53" s="8"/>
      <c r="Q53" s="8"/>
      <c r="R53" s="8"/>
      <c r="S53" s="8"/>
      <c r="T53" s="8"/>
      <c r="U53" s="8"/>
      <c r="V53" s="8"/>
      <c r="W53" s="8"/>
      <c r="X53" s="8"/>
      <c r="Y53" s="8"/>
      <c r="Z53" s="8"/>
    </row>
    <row r="54" ht="12.75" customHeight="1">
      <c r="A54" s="8"/>
      <c r="B54" s="8"/>
      <c r="C54" s="8"/>
      <c r="D54" s="8"/>
      <c r="E54" s="8"/>
      <c r="F54" s="8"/>
      <c r="G54" s="8"/>
      <c r="H54" s="8"/>
      <c r="I54" s="8"/>
      <c r="J54" s="8"/>
      <c r="K54" s="8"/>
      <c r="L54" s="8"/>
      <c r="M54" s="8"/>
      <c r="N54" s="8"/>
      <c r="O54" s="8"/>
      <c r="P54" s="8"/>
      <c r="Q54" s="8"/>
      <c r="R54" s="8"/>
      <c r="S54" s="8"/>
      <c r="T54" s="8"/>
      <c r="U54" s="8"/>
      <c r="V54" s="8"/>
      <c r="W54" s="8"/>
      <c r="X54" s="8"/>
      <c r="Y54" s="8"/>
      <c r="Z54" s="8"/>
    </row>
    <row r="55" ht="12.75" customHeight="1">
      <c r="A55" s="8"/>
      <c r="B55" s="8"/>
      <c r="C55" s="8"/>
      <c r="D55" s="8"/>
      <c r="E55" s="8"/>
      <c r="F55" s="8"/>
      <c r="G55" s="8"/>
      <c r="H55" s="8"/>
      <c r="I55" s="8"/>
      <c r="J55" s="8"/>
      <c r="K55" s="8"/>
      <c r="L55" s="8"/>
      <c r="M55" s="8"/>
      <c r="N55" s="8"/>
      <c r="O55" s="8"/>
      <c r="P55" s="8"/>
      <c r="Q55" s="8"/>
      <c r="R55" s="8"/>
      <c r="S55" s="8"/>
      <c r="T55" s="8"/>
      <c r="U55" s="8"/>
      <c r="V55" s="8"/>
      <c r="W55" s="8"/>
      <c r="X55" s="8"/>
      <c r="Y55" s="8"/>
      <c r="Z55" s="8"/>
    </row>
    <row r="56" ht="12.75" customHeight="1">
      <c r="A56" s="8"/>
      <c r="B56" s="8"/>
      <c r="C56" s="8"/>
      <c r="D56" s="8"/>
      <c r="E56" s="8"/>
      <c r="F56" s="8"/>
      <c r="G56" s="8"/>
      <c r="H56" s="8"/>
      <c r="I56" s="8"/>
      <c r="J56" s="8"/>
      <c r="K56" s="8"/>
      <c r="L56" s="8"/>
      <c r="M56" s="8"/>
      <c r="N56" s="8"/>
      <c r="O56" s="8"/>
      <c r="P56" s="8"/>
      <c r="Q56" s="8"/>
      <c r="R56" s="8"/>
      <c r="S56" s="8"/>
      <c r="T56" s="8"/>
      <c r="U56" s="8"/>
      <c r="V56" s="8"/>
      <c r="W56" s="8"/>
      <c r="X56" s="8"/>
      <c r="Y56" s="8"/>
      <c r="Z56" s="8"/>
    </row>
    <row r="57" ht="12.75" customHeight="1">
      <c r="A57" s="8"/>
      <c r="B57" s="8"/>
      <c r="C57" s="8"/>
      <c r="D57" s="8"/>
      <c r="E57" s="8"/>
      <c r="F57" s="8"/>
      <c r="G57" s="8"/>
      <c r="H57" s="8"/>
      <c r="I57" s="8"/>
      <c r="J57" s="8"/>
      <c r="K57" s="8"/>
      <c r="L57" s="8"/>
      <c r="M57" s="8"/>
      <c r="N57" s="8"/>
      <c r="O57" s="8"/>
      <c r="P57" s="8"/>
      <c r="Q57" s="8"/>
      <c r="R57" s="8"/>
      <c r="S57" s="8"/>
      <c r="T57" s="8"/>
      <c r="U57" s="8"/>
      <c r="V57" s="8"/>
      <c r="W57" s="8"/>
      <c r="X57" s="8"/>
      <c r="Y57" s="8"/>
      <c r="Z57" s="8"/>
    </row>
    <row r="58" ht="12.75" customHeight="1">
      <c r="A58" s="8"/>
      <c r="B58" s="8"/>
      <c r="C58" s="8"/>
      <c r="D58" s="8"/>
      <c r="E58" s="8"/>
      <c r="F58" s="8"/>
      <c r="G58" s="8"/>
      <c r="H58" s="8"/>
      <c r="I58" s="8"/>
      <c r="J58" s="8"/>
      <c r="K58" s="8"/>
      <c r="L58" s="8"/>
      <c r="M58" s="8"/>
      <c r="N58" s="8"/>
      <c r="O58" s="8"/>
      <c r="P58" s="8"/>
      <c r="Q58" s="8"/>
      <c r="R58" s="8"/>
      <c r="S58" s="8"/>
      <c r="T58" s="8"/>
      <c r="U58" s="8"/>
      <c r="V58" s="8"/>
      <c r="W58" s="8"/>
      <c r="X58" s="8"/>
      <c r="Y58" s="8"/>
      <c r="Z58" s="8"/>
    </row>
    <row r="59" ht="12.75" customHeight="1">
      <c r="A59" s="8"/>
      <c r="B59" s="8"/>
      <c r="C59" s="8"/>
      <c r="D59" s="8"/>
      <c r="E59" s="8"/>
      <c r="F59" s="8"/>
      <c r="G59" s="8"/>
      <c r="H59" s="8"/>
      <c r="I59" s="8"/>
      <c r="J59" s="8"/>
      <c r="K59" s="8"/>
      <c r="L59" s="8"/>
      <c r="M59" s="8"/>
      <c r="N59" s="8"/>
      <c r="O59" s="8"/>
      <c r="P59" s="8"/>
      <c r="Q59" s="8"/>
      <c r="R59" s="8"/>
      <c r="S59" s="8"/>
      <c r="T59" s="8"/>
      <c r="U59" s="8"/>
      <c r="V59" s="8"/>
      <c r="W59" s="8"/>
      <c r="X59" s="8"/>
      <c r="Y59" s="8"/>
      <c r="Z59" s="8"/>
    </row>
    <row r="60" ht="12.75" customHeight="1">
      <c r="A60" s="8"/>
      <c r="B60" s="8"/>
      <c r="C60" s="8"/>
      <c r="D60" s="8"/>
      <c r="E60" s="8"/>
      <c r="F60" s="8"/>
      <c r="G60" s="8"/>
      <c r="H60" s="8"/>
      <c r="I60" s="8"/>
      <c r="J60" s="8"/>
      <c r="K60" s="8"/>
      <c r="L60" s="8"/>
      <c r="M60" s="8"/>
      <c r="N60" s="8"/>
      <c r="O60" s="8"/>
      <c r="P60" s="8"/>
      <c r="Q60" s="8"/>
      <c r="R60" s="8"/>
      <c r="S60" s="8"/>
      <c r="T60" s="8"/>
      <c r="U60" s="8"/>
      <c r="V60" s="8"/>
      <c r="W60" s="8"/>
      <c r="X60" s="8"/>
      <c r="Y60" s="8"/>
      <c r="Z60" s="8"/>
    </row>
    <row r="61" ht="12.75" customHeight="1">
      <c r="A61" s="8"/>
      <c r="B61" s="8"/>
      <c r="C61" s="8"/>
      <c r="D61" s="8"/>
      <c r="E61" s="8"/>
      <c r="F61" s="8"/>
      <c r="G61" s="8"/>
      <c r="H61" s="8"/>
      <c r="I61" s="8"/>
      <c r="J61" s="8"/>
      <c r="K61" s="8"/>
      <c r="L61" s="8"/>
      <c r="M61" s="8"/>
      <c r="N61" s="8"/>
      <c r="O61" s="8"/>
      <c r="P61" s="8"/>
      <c r="Q61" s="8"/>
      <c r="R61" s="8"/>
      <c r="S61" s="8"/>
      <c r="T61" s="8"/>
      <c r="U61" s="8"/>
      <c r="V61" s="8"/>
      <c r="W61" s="8"/>
      <c r="X61" s="8"/>
      <c r="Y61" s="8"/>
      <c r="Z61" s="8"/>
    </row>
    <row r="62" ht="12.75" customHeight="1">
      <c r="A62" s="8"/>
      <c r="B62" s="8"/>
      <c r="C62" s="8"/>
      <c r="D62" s="8"/>
      <c r="E62" s="8"/>
      <c r="F62" s="8"/>
      <c r="G62" s="8"/>
      <c r="H62" s="8"/>
      <c r="I62" s="8"/>
      <c r="J62" s="8"/>
      <c r="K62" s="8"/>
      <c r="L62" s="8"/>
      <c r="M62" s="8"/>
      <c r="N62" s="8"/>
      <c r="O62" s="8"/>
      <c r="P62" s="8"/>
      <c r="Q62" s="8"/>
      <c r="R62" s="8"/>
      <c r="S62" s="8"/>
      <c r="T62" s="8"/>
      <c r="U62" s="8"/>
      <c r="V62" s="8"/>
      <c r="W62" s="8"/>
      <c r="X62" s="8"/>
      <c r="Y62" s="8"/>
      <c r="Z62" s="8"/>
    </row>
    <row r="63" ht="12.75" customHeight="1">
      <c r="A63" s="8"/>
      <c r="B63" s="8"/>
      <c r="C63" s="8"/>
      <c r="D63" s="8"/>
      <c r="E63" s="8"/>
      <c r="F63" s="8"/>
      <c r="G63" s="8"/>
      <c r="H63" s="8"/>
      <c r="I63" s="8"/>
      <c r="J63" s="8"/>
      <c r="K63" s="8"/>
      <c r="L63" s="8"/>
      <c r="M63" s="8"/>
      <c r="N63" s="8"/>
      <c r="O63" s="8"/>
      <c r="P63" s="8"/>
      <c r="Q63" s="8"/>
      <c r="R63" s="8"/>
      <c r="S63" s="8"/>
      <c r="T63" s="8"/>
      <c r="U63" s="8"/>
      <c r="V63" s="8"/>
      <c r="W63" s="8"/>
      <c r="X63" s="8"/>
      <c r="Y63" s="8"/>
      <c r="Z63" s="8"/>
    </row>
    <row r="64" ht="12.75" customHeight="1">
      <c r="A64" s="8"/>
      <c r="B64" s="8"/>
      <c r="C64" s="8"/>
      <c r="D64" s="8"/>
      <c r="E64" s="8"/>
      <c r="F64" s="8"/>
      <c r="G64" s="8"/>
      <c r="H64" s="8"/>
      <c r="I64" s="8"/>
      <c r="J64" s="8"/>
      <c r="K64" s="8"/>
      <c r="L64" s="8"/>
      <c r="M64" s="8"/>
      <c r="N64" s="8"/>
      <c r="O64" s="8"/>
      <c r="P64" s="8"/>
      <c r="Q64" s="8"/>
      <c r="R64" s="8"/>
      <c r="S64" s="8"/>
      <c r="T64" s="8"/>
      <c r="U64" s="8"/>
      <c r="V64" s="8"/>
      <c r="W64" s="8"/>
      <c r="X64" s="8"/>
      <c r="Y64" s="8"/>
      <c r="Z64" s="8"/>
    </row>
    <row r="65" ht="12.75" customHeight="1">
      <c r="A65" s="8"/>
      <c r="B65" s="8"/>
      <c r="C65" s="8"/>
      <c r="D65" s="8"/>
      <c r="E65" s="8"/>
      <c r="F65" s="8"/>
      <c r="G65" s="8"/>
      <c r="H65" s="8"/>
      <c r="I65" s="8"/>
      <c r="J65" s="8"/>
      <c r="K65" s="8"/>
      <c r="L65" s="8"/>
      <c r="M65" s="8"/>
      <c r="N65" s="8"/>
      <c r="O65" s="8"/>
      <c r="P65" s="8"/>
      <c r="Q65" s="8"/>
      <c r="R65" s="8"/>
      <c r="S65" s="8"/>
      <c r="T65" s="8"/>
      <c r="U65" s="8"/>
      <c r="V65" s="8"/>
      <c r="W65" s="8"/>
      <c r="X65" s="8"/>
      <c r="Y65" s="8"/>
      <c r="Z65" s="8"/>
    </row>
    <row r="66" ht="12.75" customHeight="1">
      <c r="A66" s="8"/>
      <c r="B66" s="8"/>
      <c r="C66" s="8"/>
      <c r="D66" s="8"/>
      <c r="E66" s="8"/>
      <c r="F66" s="8"/>
      <c r="G66" s="8"/>
      <c r="H66" s="8"/>
      <c r="I66" s="8"/>
      <c r="J66" s="8"/>
      <c r="K66" s="8"/>
      <c r="L66" s="8"/>
      <c r="M66" s="8"/>
      <c r="N66" s="8"/>
      <c r="O66" s="8"/>
      <c r="P66" s="8"/>
      <c r="Q66" s="8"/>
      <c r="R66" s="8"/>
      <c r="S66" s="8"/>
      <c r="T66" s="8"/>
      <c r="U66" s="8"/>
      <c r="V66" s="8"/>
      <c r="W66" s="8"/>
      <c r="X66" s="8"/>
      <c r="Y66" s="8"/>
      <c r="Z66" s="8"/>
    </row>
    <row r="67" ht="12.75" customHeight="1">
      <c r="A67" s="8"/>
      <c r="B67" s="8"/>
      <c r="C67" s="8"/>
      <c r="D67" s="8"/>
      <c r="E67" s="8"/>
      <c r="F67" s="8"/>
      <c r="G67" s="8"/>
      <c r="H67" s="8"/>
      <c r="I67" s="8"/>
      <c r="J67" s="8"/>
      <c r="K67" s="8"/>
      <c r="L67" s="8"/>
      <c r="M67" s="8"/>
      <c r="N67" s="8"/>
      <c r="O67" s="8"/>
      <c r="P67" s="8"/>
      <c r="Q67" s="8"/>
      <c r="R67" s="8"/>
      <c r="S67" s="8"/>
      <c r="T67" s="8"/>
      <c r="U67" s="8"/>
      <c r="V67" s="8"/>
      <c r="W67" s="8"/>
      <c r="X67" s="8"/>
      <c r="Y67" s="8"/>
      <c r="Z67" s="8"/>
    </row>
    <row r="68" ht="12.75" customHeight="1">
      <c r="A68" s="8"/>
      <c r="B68" s="8"/>
      <c r="C68" s="8"/>
      <c r="D68" s="8"/>
      <c r="E68" s="8"/>
      <c r="F68" s="8"/>
      <c r="G68" s="8"/>
      <c r="H68" s="8"/>
      <c r="I68" s="8"/>
      <c r="J68" s="8"/>
      <c r="K68" s="8"/>
      <c r="L68" s="8"/>
      <c r="M68" s="8"/>
      <c r="N68" s="8"/>
      <c r="O68" s="8"/>
      <c r="P68" s="8"/>
      <c r="Q68" s="8"/>
      <c r="R68" s="8"/>
      <c r="S68" s="8"/>
      <c r="T68" s="8"/>
      <c r="U68" s="8"/>
      <c r="V68" s="8"/>
      <c r="W68" s="8"/>
      <c r="X68" s="8"/>
      <c r="Y68" s="8"/>
      <c r="Z68" s="8"/>
    </row>
    <row r="69" ht="12.75" customHeight="1">
      <c r="A69" s="8"/>
      <c r="B69" s="8"/>
      <c r="C69" s="8"/>
      <c r="D69" s="8"/>
      <c r="E69" s="8"/>
      <c r="F69" s="8"/>
      <c r="G69" s="8"/>
      <c r="H69" s="8"/>
      <c r="I69" s="8"/>
      <c r="J69" s="8"/>
      <c r="K69" s="8"/>
      <c r="L69" s="8"/>
      <c r="M69" s="8"/>
      <c r="N69" s="8"/>
      <c r="O69" s="8"/>
      <c r="P69" s="8"/>
      <c r="Q69" s="8"/>
      <c r="R69" s="8"/>
      <c r="S69" s="8"/>
      <c r="T69" s="8"/>
      <c r="U69" s="8"/>
      <c r="V69" s="8"/>
      <c r="W69" s="8"/>
      <c r="X69" s="8"/>
      <c r="Y69" s="8"/>
      <c r="Z69" s="8"/>
    </row>
    <row r="70" ht="12.75" customHeight="1">
      <c r="A70" s="8"/>
      <c r="B70" s="8"/>
      <c r="C70" s="8"/>
      <c r="D70" s="8"/>
      <c r="E70" s="8"/>
      <c r="F70" s="8"/>
      <c r="G70" s="8"/>
      <c r="H70" s="8"/>
      <c r="I70" s="8"/>
      <c r="J70" s="8"/>
      <c r="K70" s="8"/>
      <c r="L70" s="8"/>
      <c r="M70" s="8"/>
      <c r="N70" s="8"/>
      <c r="O70" s="8"/>
      <c r="P70" s="8"/>
      <c r="Q70" s="8"/>
      <c r="R70" s="8"/>
      <c r="S70" s="8"/>
      <c r="T70" s="8"/>
      <c r="U70" s="8"/>
      <c r="V70" s="8"/>
      <c r="W70" s="8"/>
      <c r="X70" s="8"/>
      <c r="Y70" s="8"/>
      <c r="Z70" s="8"/>
    </row>
    <row r="71" ht="12.75" customHeight="1">
      <c r="A71" s="8"/>
      <c r="B71" s="8"/>
      <c r="C71" s="8"/>
      <c r="D71" s="8"/>
      <c r="E71" s="8"/>
      <c r="F71" s="8"/>
      <c r="G71" s="8"/>
      <c r="H71" s="8"/>
      <c r="I71" s="8"/>
      <c r="J71" s="8"/>
      <c r="K71" s="8"/>
      <c r="L71" s="8"/>
      <c r="M71" s="8"/>
      <c r="N71" s="8"/>
      <c r="O71" s="8"/>
      <c r="P71" s="8"/>
      <c r="Q71" s="8"/>
      <c r="R71" s="8"/>
      <c r="S71" s="8"/>
      <c r="T71" s="8"/>
      <c r="U71" s="8"/>
      <c r="V71" s="8"/>
      <c r="W71" s="8"/>
      <c r="X71" s="8"/>
      <c r="Y71" s="8"/>
      <c r="Z71" s="8"/>
    </row>
    <row r="72" ht="12.75" customHeight="1">
      <c r="A72" s="8"/>
      <c r="B72" s="8"/>
      <c r="C72" s="8"/>
      <c r="D72" s="8"/>
      <c r="E72" s="8"/>
      <c r="F72" s="8"/>
      <c r="G72" s="8"/>
      <c r="H72" s="8"/>
      <c r="I72" s="8"/>
      <c r="J72" s="8"/>
      <c r="K72" s="8"/>
      <c r="L72" s="8"/>
      <c r="M72" s="8"/>
      <c r="N72" s="8"/>
      <c r="O72" s="8"/>
      <c r="P72" s="8"/>
      <c r="Q72" s="8"/>
      <c r="R72" s="8"/>
      <c r="S72" s="8"/>
      <c r="T72" s="8"/>
      <c r="U72" s="8"/>
      <c r="V72" s="8"/>
      <c r="W72" s="8"/>
      <c r="X72" s="8"/>
      <c r="Y72" s="8"/>
      <c r="Z72" s="8"/>
    </row>
    <row r="73" ht="12.75" customHeight="1">
      <c r="A73" s="8"/>
      <c r="B73" s="8"/>
      <c r="C73" s="8"/>
      <c r="D73" s="8"/>
      <c r="E73" s="8"/>
      <c r="F73" s="8"/>
      <c r="G73" s="8"/>
      <c r="H73" s="8"/>
      <c r="I73" s="8"/>
      <c r="J73" s="8"/>
      <c r="K73" s="8"/>
      <c r="L73" s="8"/>
      <c r="M73" s="8"/>
      <c r="N73" s="8"/>
      <c r="O73" s="8"/>
      <c r="P73" s="8"/>
      <c r="Q73" s="8"/>
      <c r="R73" s="8"/>
      <c r="S73" s="8"/>
      <c r="T73" s="8"/>
      <c r="U73" s="8"/>
      <c r="V73" s="8"/>
      <c r="W73" s="8"/>
      <c r="X73" s="8"/>
      <c r="Y73" s="8"/>
      <c r="Z73" s="8"/>
    </row>
    <row r="74" ht="12.75" customHeight="1">
      <c r="A74" s="8"/>
      <c r="B74" s="8"/>
      <c r="C74" s="8"/>
      <c r="D74" s="8"/>
      <c r="E74" s="8"/>
      <c r="F74" s="8"/>
      <c r="G74" s="8"/>
      <c r="H74" s="8"/>
      <c r="I74" s="8"/>
      <c r="J74" s="8"/>
      <c r="K74" s="8"/>
      <c r="L74" s="8"/>
      <c r="M74" s="8"/>
      <c r="N74" s="8"/>
      <c r="O74" s="8"/>
      <c r="P74" s="8"/>
      <c r="Q74" s="8"/>
      <c r="R74" s="8"/>
      <c r="S74" s="8"/>
      <c r="T74" s="8"/>
      <c r="U74" s="8"/>
      <c r="V74" s="8"/>
      <c r="W74" s="8"/>
      <c r="X74" s="8"/>
      <c r="Y74" s="8"/>
      <c r="Z74" s="8"/>
    </row>
    <row r="75" ht="12.75" customHeight="1">
      <c r="A75" s="8"/>
      <c r="B75" s="8"/>
      <c r="C75" s="8"/>
      <c r="D75" s="8"/>
      <c r="E75" s="8"/>
      <c r="F75" s="8"/>
      <c r="G75" s="8"/>
      <c r="H75" s="8"/>
      <c r="I75" s="8"/>
      <c r="J75" s="8"/>
      <c r="K75" s="8"/>
      <c r="L75" s="8"/>
      <c r="M75" s="8"/>
      <c r="N75" s="8"/>
      <c r="O75" s="8"/>
      <c r="P75" s="8"/>
      <c r="Q75" s="8"/>
      <c r="R75" s="8"/>
      <c r="S75" s="8"/>
      <c r="T75" s="8"/>
      <c r="U75" s="8"/>
      <c r="V75" s="8"/>
      <c r="W75" s="8"/>
      <c r="X75" s="8"/>
      <c r="Y75" s="8"/>
      <c r="Z75" s="8"/>
    </row>
    <row r="76" ht="12.75" customHeight="1">
      <c r="A76" s="8"/>
      <c r="B76" s="8"/>
      <c r="C76" s="8"/>
      <c r="D76" s="8"/>
      <c r="E76" s="8"/>
      <c r="F76" s="8"/>
      <c r="G76" s="8"/>
      <c r="H76" s="8"/>
      <c r="I76" s="8"/>
      <c r="J76" s="8"/>
      <c r="K76" s="8"/>
      <c r="L76" s="8"/>
      <c r="M76" s="8"/>
      <c r="N76" s="8"/>
      <c r="O76" s="8"/>
      <c r="P76" s="8"/>
      <c r="Q76" s="8"/>
      <c r="R76" s="8"/>
      <c r="S76" s="8"/>
      <c r="T76" s="8"/>
      <c r="U76" s="8"/>
      <c r="V76" s="8"/>
      <c r="W76" s="8"/>
      <c r="X76" s="8"/>
      <c r="Y76" s="8"/>
      <c r="Z76" s="8"/>
    </row>
    <row r="77" ht="12.75" customHeight="1">
      <c r="A77" s="8"/>
      <c r="B77" s="8"/>
      <c r="C77" s="8"/>
      <c r="D77" s="8"/>
      <c r="E77" s="8"/>
      <c r="F77" s="8"/>
      <c r="G77" s="8"/>
      <c r="H77" s="8"/>
      <c r="I77" s="8"/>
      <c r="J77" s="8"/>
      <c r="K77" s="8"/>
      <c r="L77" s="8"/>
      <c r="M77" s="8"/>
      <c r="N77" s="8"/>
      <c r="O77" s="8"/>
      <c r="P77" s="8"/>
      <c r="Q77" s="8"/>
      <c r="R77" s="8"/>
      <c r="S77" s="8"/>
      <c r="T77" s="8"/>
      <c r="U77" s="8"/>
      <c r="V77" s="8"/>
      <c r="W77" s="8"/>
      <c r="X77" s="8"/>
      <c r="Y77" s="8"/>
      <c r="Z77" s="8"/>
    </row>
    <row r="78" ht="12.75" customHeight="1">
      <c r="A78" s="8"/>
      <c r="B78" s="8"/>
      <c r="C78" s="8"/>
      <c r="D78" s="8"/>
      <c r="E78" s="8"/>
      <c r="F78" s="8"/>
      <c r="G78" s="8"/>
      <c r="H78" s="8"/>
      <c r="I78" s="8"/>
      <c r="J78" s="8"/>
      <c r="K78" s="8"/>
      <c r="L78" s="8"/>
      <c r="M78" s="8"/>
      <c r="N78" s="8"/>
      <c r="O78" s="8"/>
      <c r="P78" s="8"/>
      <c r="Q78" s="8"/>
      <c r="R78" s="8"/>
      <c r="S78" s="8"/>
      <c r="T78" s="8"/>
      <c r="U78" s="8"/>
      <c r="V78" s="8"/>
      <c r="W78" s="8"/>
      <c r="X78" s="8"/>
      <c r="Y78" s="8"/>
      <c r="Z78" s="8"/>
    </row>
    <row r="79" ht="12.75" customHeight="1">
      <c r="A79" s="8"/>
      <c r="B79" s="8"/>
      <c r="C79" s="8"/>
      <c r="D79" s="8"/>
      <c r="E79" s="8"/>
      <c r="F79" s="8"/>
      <c r="G79" s="8"/>
      <c r="H79" s="8"/>
      <c r="I79" s="8"/>
      <c r="J79" s="8"/>
      <c r="K79" s="8"/>
      <c r="L79" s="8"/>
      <c r="M79" s="8"/>
      <c r="N79" s="8"/>
      <c r="O79" s="8"/>
      <c r="P79" s="8"/>
      <c r="Q79" s="8"/>
      <c r="R79" s="8"/>
      <c r="S79" s="8"/>
      <c r="T79" s="8"/>
      <c r="U79" s="8"/>
      <c r="V79" s="8"/>
      <c r="W79" s="8"/>
      <c r="X79" s="8"/>
      <c r="Y79" s="8"/>
      <c r="Z79" s="8"/>
    </row>
    <row r="80" ht="12.75" customHeight="1">
      <c r="A80" s="8"/>
      <c r="B80" s="8"/>
      <c r="C80" s="8"/>
      <c r="D80" s="8"/>
      <c r="E80" s="8"/>
      <c r="F80" s="8"/>
      <c r="G80" s="8"/>
      <c r="H80" s="8"/>
      <c r="I80" s="8"/>
      <c r="J80" s="8"/>
      <c r="K80" s="8"/>
      <c r="L80" s="8"/>
      <c r="M80" s="8"/>
      <c r="N80" s="8"/>
      <c r="O80" s="8"/>
      <c r="P80" s="8"/>
      <c r="Q80" s="8"/>
      <c r="R80" s="8"/>
      <c r="S80" s="8"/>
      <c r="T80" s="8"/>
      <c r="U80" s="8"/>
      <c r="V80" s="8"/>
      <c r="W80" s="8"/>
      <c r="X80" s="8"/>
      <c r="Y80" s="8"/>
      <c r="Z80" s="8"/>
    </row>
    <row r="81" ht="12.75" customHeight="1">
      <c r="A81" s="8"/>
      <c r="B81" s="8"/>
      <c r="C81" s="8"/>
      <c r="D81" s="8"/>
      <c r="E81" s="8"/>
      <c r="F81" s="8"/>
      <c r="G81" s="8"/>
      <c r="H81" s="8"/>
      <c r="I81" s="8"/>
      <c r="J81" s="8"/>
      <c r="K81" s="8"/>
      <c r="L81" s="8"/>
      <c r="M81" s="8"/>
      <c r="N81" s="8"/>
      <c r="O81" s="8"/>
      <c r="P81" s="8"/>
      <c r="Q81" s="8"/>
      <c r="R81" s="8"/>
      <c r="S81" s="8"/>
      <c r="T81" s="8"/>
      <c r="U81" s="8"/>
      <c r="V81" s="8"/>
      <c r="W81" s="8"/>
      <c r="X81" s="8"/>
      <c r="Y81" s="8"/>
      <c r="Z81" s="8"/>
    </row>
    <row r="82" ht="12.75" customHeight="1">
      <c r="A82" s="8"/>
      <c r="B82" s="8"/>
      <c r="C82" s="8"/>
      <c r="D82" s="8"/>
      <c r="E82" s="8"/>
      <c r="F82" s="8"/>
      <c r="G82" s="8"/>
      <c r="H82" s="8"/>
      <c r="I82" s="8"/>
      <c r="J82" s="8"/>
      <c r="K82" s="8"/>
      <c r="L82" s="8"/>
      <c r="M82" s="8"/>
      <c r="N82" s="8"/>
      <c r="O82" s="8"/>
      <c r="P82" s="8"/>
      <c r="Q82" s="8"/>
      <c r="R82" s="8"/>
      <c r="S82" s="8"/>
      <c r="T82" s="8"/>
      <c r="U82" s="8"/>
      <c r="V82" s="8"/>
      <c r="W82" s="8"/>
      <c r="X82" s="8"/>
      <c r="Y82" s="8"/>
      <c r="Z82" s="8"/>
    </row>
    <row r="83" ht="12.75" customHeight="1">
      <c r="A83" s="8"/>
      <c r="B83" s="8"/>
      <c r="C83" s="8"/>
      <c r="D83" s="8"/>
      <c r="E83" s="8"/>
      <c r="F83" s="8"/>
      <c r="G83" s="8"/>
      <c r="H83" s="8"/>
      <c r="I83" s="8"/>
      <c r="J83" s="8"/>
      <c r="K83" s="8"/>
      <c r="L83" s="8"/>
      <c r="M83" s="8"/>
      <c r="N83" s="8"/>
      <c r="O83" s="8"/>
      <c r="P83" s="8"/>
      <c r="Q83" s="8"/>
      <c r="R83" s="8"/>
      <c r="S83" s="8"/>
      <c r="T83" s="8"/>
      <c r="U83" s="8"/>
      <c r="V83" s="8"/>
      <c r="W83" s="8"/>
      <c r="X83" s="8"/>
      <c r="Y83" s="8"/>
      <c r="Z83" s="8"/>
    </row>
    <row r="84" ht="12.75" customHeight="1">
      <c r="A84" s="8"/>
      <c r="B84" s="8"/>
      <c r="C84" s="8"/>
      <c r="D84" s="8"/>
      <c r="E84" s="8"/>
      <c r="F84" s="8"/>
      <c r="G84" s="8"/>
      <c r="H84" s="8"/>
      <c r="I84" s="8"/>
      <c r="J84" s="8"/>
      <c r="K84" s="8"/>
      <c r="L84" s="8"/>
      <c r="M84" s="8"/>
      <c r="N84" s="8"/>
      <c r="O84" s="8"/>
      <c r="P84" s="8"/>
      <c r="Q84" s="8"/>
      <c r="R84" s="8"/>
      <c r="S84" s="8"/>
      <c r="T84" s="8"/>
      <c r="U84" s="8"/>
      <c r="V84" s="8"/>
      <c r="W84" s="8"/>
      <c r="X84" s="8"/>
      <c r="Y84" s="8"/>
      <c r="Z84" s="8"/>
    </row>
    <row r="85" ht="12.75" customHeight="1">
      <c r="A85" s="8"/>
      <c r="B85" s="8"/>
      <c r="C85" s="8"/>
      <c r="D85" s="8"/>
      <c r="E85" s="8"/>
      <c r="F85" s="8"/>
      <c r="G85" s="8"/>
      <c r="H85" s="8"/>
      <c r="I85" s="8"/>
      <c r="J85" s="8"/>
      <c r="K85" s="8"/>
      <c r="L85" s="8"/>
      <c r="M85" s="8"/>
      <c r="N85" s="8"/>
      <c r="O85" s="8"/>
      <c r="P85" s="8"/>
      <c r="Q85" s="8"/>
      <c r="R85" s="8"/>
      <c r="S85" s="8"/>
      <c r="T85" s="8"/>
      <c r="U85" s="8"/>
      <c r="V85" s="8"/>
      <c r="W85" s="8"/>
      <c r="X85" s="8"/>
      <c r="Y85" s="8"/>
      <c r="Z85" s="8"/>
    </row>
    <row r="86" ht="12.75" customHeight="1">
      <c r="A86" s="8"/>
      <c r="B86" s="8"/>
      <c r="C86" s="8"/>
      <c r="D86" s="8"/>
      <c r="E86" s="8"/>
      <c r="F86" s="8"/>
      <c r="G86" s="8"/>
      <c r="H86" s="8"/>
      <c r="I86" s="8"/>
      <c r="J86" s="8"/>
      <c r="K86" s="8"/>
      <c r="L86" s="8"/>
      <c r="M86" s="8"/>
      <c r="N86" s="8"/>
      <c r="O86" s="8"/>
      <c r="P86" s="8"/>
      <c r="Q86" s="8"/>
      <c r="R86" s="8"/>
      <c r="S86" s="8"/>
      <c r="T86" s="8"/>
      <c r="U86" s="8"/>
      <c r="V86" s="8"/>
      <c r="W86" s="8"/>
      <c r="X86" s="8"/>
      <c r="Y86" s="8"/>
      <c r="Z86" s="8"/>
    </row>
    <row r="87" ht="12.75" customHeight="1">
      <c r="A87" s="8"/>
      <c r="B87" s="8"/>
      <c r="C87" s="8"/>
      <c r="D87" s="8"/>
      <c r="E87" s="8"/>
      <c r="F87" s="8"/>
      <c r="G87" s="8"/>
      <c r="H87" s="8"/>
      <c r="I87" s="8"/>
      <c r="J87" s="8"/>
      <c r="K87" s="8"/>
      <c r="L87" s="8"/>
      <c r="M87" s="8"/>
      <c r="N87" s="8"/>
      <c r="O87" s="8"/>
      <c r="P87" s="8"/>
      <c r="Q87" s="8"/>
      <c r="R87" s="8"/>
      <c r="S87" s="8"/>
      <c r="T87" s="8"/>
      <c r="U87" s="8"/>
      <c r="V87" s="8"/>
      <c r="W87" s="8"/>
      <c r="X87" s="8"/>
      <c r="Y87" s="8"/>
      <c r="Z87" s="8"/>
    </row>
    <row r="88" ht="12.75" customHeight="1">
      <c r="A88" s="8"/>
      <c r="B88" s="8"/>
      <c r="C88" s="8"/>
      <c r="D88" s="8"/>
      <c r="E88" s="8"/>
      <c r="F88" s="8"/>
      <c r="G88" s="8"/>
      <c r="H88" s="8"/>
      <c r="I88" s="8"/>
      <c r="J88" s="8"/>
      <c r="K88" s="8"/>
      <c r="L88" s="8"/>
      <c r="M88" s="8"/>
      <c r="N88" s="8"/>
      <c r="O88" s="8"/>
      <c r="P88" s="8"/>
      <c r="Q88" s="8"/>
      <c r="R88" s="8"/>
      <c r="S88" s="8"/>
      <c r="T88" s="8"/>
      <c r="U88" s="8"/>
      <c r="V88" s="8"/>
      <c r="W88" s="8"/>
      <c r="X88" s="8"/>
      <c r="Y88" s="8"/>
      <c r="Z88" s="8"/>
    </row>
    <row r="89" ht="12.75" customHeight="1">
      <c r="A89" s="8"/>
      <c r="B89" s="8"/>
      <c r="C89" s="8"/>
      <c r="D89" s="8"/>
      <c r="E89" s="8"/>
      <c r="F89" s="8"/>
      <c r="G89" s="8"/>
      <c r="H89" s="8"/>
      <c r="I89" s="8"/>
      <c r="J89" s="8"/>
      <c r="K89" s="8"/>
      <c r="L89" s="8"/>
      <c r="M89" s="8"/>
      <c r="N89" s="8"/>
      <c r="O89" s="8"/>
      <c r="P89" s="8"/>
      <c r="Q89" s="8"/>
      <c r="R89" s="8"/>
      <c r="S89" s="8"/>
      <c r="T89" s="8"/>
      <c r="U89" s="8"/>
      <c r="V89" s="8"/>
      <c r="W89" s="8"/>
      <c r="X89" s="8"/>
      <c r="Y89" s="8"/>
      <c r="Z89" s="8"/>
    </row>
    <row r="90" ht="12.75" customHeight="1">
      <c r="A90" s="8"/>
      <c r="B90" s="8"/>
      <c r="C90" s="8"/>
      <c r="D90" s="8"/>
      <c r="E90" s="8"/>
      <c r="F90" s="8"/>
      <c r="G90" s="8"/>
      <c r="H90" s="8"/>
      <c r="I90" s="8"/>
      <c r="J90" s="8"/>
      <c r="K90" s="8"/>
      <c r="L90" s="8"/>
      <c r="M90" s="8"/>
      <c r="N90" s="8"/>
      <c r="O90" s="8"/>
      <c r="P90" s="8"/>
      <c r="Q90" s="8"/>
      <c r="R90" s="8"/>
      <c r="S90" s="8"/>
      <c r="T90" s="8"/>
      <c r="U90" s="8"/>
      <c r="V90" s="8"/>
      <c r="W90" s="8"/>
      <c r="X90" s="8"/>
      <c r="Y90" s="8"/>
      <c r="Z90" s="8"/>
    </row>
    <row r="91" ht="12.75" customHeight="1">
      <c r="A91" s="8"/>
      <c r="B91" s="8"/>
      <c r="C91" s="8"/>
      <c r="D91" s="8"/>
      <c r="E91" s="8"/>
      <c r="F91" s="8"/>
      <c r="G91" s="8"/>
      <c r="H91" s="8"/>
      <c r="I91" s="8"/>
      <c r="J91" s="8"/>
      <c r="K91" s="8"/>
      <c r="L91" s="8"/>
      <c r="M91" s="8"/>
      <c r="N91" s="8"/>
      <c r="O91" s="8"/>
      <c r="P91" s="8"/>
      <c r="Q91" s="8"/>
      <c r="R91" s="8"/>
      <c r="S91" s="8"/>
      <c r="T91" s="8"/>
      <c r="U91" s="8"/>
      <c r="V91" s="8"/>
      <c r="W91" s="8"/>
      <c r="X91" s="8"/>
      <c r="Y91" s="8"/>
      <c r="Z91" s="8"/>
    </row>
    <row r="92" ht="12.75" customHeight="1">
      <c r="A92" s="8"/>
      <c r="B92" s="8"/>
      <c r="C92" s="8"/>
      <c r="D92" s="8"/>
      <c r="E92" s="8"/>
      <c r="F92" s="8"/>
      <c r="G92" s="8"/>
      <c r="H92" s="8"/>
      <c r="I92" s="8"/>
      <c r="J92" s="8"/>
      <c r="K92" s="8"/>
      <c r="L92" s="8"/>
      <c r="M92" s="8"/>
      <c r="N92" s="8"/>
      <c r="O92" s="8"/>
      <c r="P92" s="8"/>
      <c r="Q92" s="8"/>
      <c r="R92" s="8"/>
      <c r="S92" s="8"/>
      <c r="T92" s="8"/>
      <c r="U92" s="8"/>
      <c r="V92" s="8"/>
      <c r="W92" s="8"/>
      <c r="X92" s="8"/>
      <c r="Y92" s="8"/>
      <c r="Z92" s="8"/>
    </row>
    <row r="93" ht="12.75" customHeight="1">
      <c r="A93" s="8"/>
      <c r="B93" s="8"/>
      <c r="C93" s="8"/>
      <c r="D93" s="8"/>
      <c r="E93" s="8"/>
      <c r="F93" s="8"/>
      <c r="G93" s="8"/>
      <c r="H93" s="8"/>
      <c r="I93" s="8"/>
      <c r="J93" s="8"/>
      <c r="K93" s="8"/>
      <c r="L93" s="8"/>
      <c r="M93" s="8"/>
      <c r="N93" s="8"/>
      <c r="O93" s="8"/>
      <c r="P93" s="8"/>
      <c r="Q93" s="8"/>
      <c r="R93" s="8"/>
      <c r="S93" s="8"/>
      <c r="T93" s="8"/>
      <c r="U93" s="8"/>
      <c r="V93" s="8"/>
      <c r="W93" s="8"/>
      <c r="X93" s="8"/>
      <c r="Y93" s="8"/>
      <c r="Z93" s="8"/>
    </row>
    <row r="94" ht="12.75" customHeight="1">
      <c r="A94" s="8"/>
      <c r="B94" s="8"/>
      <c r="C94" s="8"/>
      <c r="D94" s="8"/>
      <c r="E94" s="8"/>
      <c r="F94" s="8"/>
      <c r="G94" s="8"/>
      <c r="H94" s="8"/>
      <c r="I94" s="8"/>
      <c r="J94" s="8"/>
      <c r="K94" s="8"/>
      <c r="L94" s="8"/>
      <c r="M94" s="8"/>
      <c r="N94" s="8"/>
      <c r="O94" s="8"/>
      <c r="P94" s="8"/>
      <c r="Q94" s="8"/>
      <c r="R94" s="8"/>
      <c r="S94" s="8"/>
      <c r="T94" s="8"/>
      <c r="U94" s="8"/>
      <c r="V94" s="8"/>
      <c r="W94" s="8"/>
      <c r="X94" s="8"/>
      <c r="Y94" s="8"/>
      <c r="Z94" s="8"/>
    </row>
    <row r="95" ht="12.75" customHeight="1">
      <c r="A95" s="8"/>
      <c r="B95" s="8"/>
      <c r="C95" s="8"/>
      <c r="D95" s="8"/>
      <c r="E95" s="8"/>
      <c r="F95" s="8"/>
      <c r="G95" s="8"/>
      <c r="H95" s="8"/>
      <c r="I95" s="8"/>
      <c r="J95" s="8"/>
      <c r="K95" s="8"/>
      <c r="L95" s="8"/>
      <c r="M95" s="8"/>
      <c r="N95" s="8"/>
      <c r="O95" s="8"/>
      <c r="P95" s="8"/>
      <c r="Q95" s="8"/>
      <c r="R95" s="8"/>
      <c r="S95" s="8"/>
      <c r="T95" s="8"/>
      <c r="U95" s="8"/>
      <c r="V95" s="8"/>
      <c r="W95" s="8"/>
      <c r="X95" s="8"/>
      <c r="Y95" s="8"/>
      <c r="Z95" s="8"/>
    </row>
    <row r="96" ht="12.75" customHeight="1">
      <c r="A96" s="8"/>
      <c r="B96" s="8"/>
      <c r="C96" s="8"/>
      <c r="D96" s="8"/>
      <c r="E96" s="8"/>
      <c r="F96" s="8"/>
      <c r="G96" s="8"/>
      <c r="H96" s="8"/>
      <c r="I96" s="8"/>
      <c r="J96" s="8"/>
      <c r="K96" s="8"/>
      <c r="L96" s="8"/>
      <c r="M96" s="8"/>
      <c r="N96" s="8"/>
      <c r="O96" s="8"/>
      <c r="P96" s="8"/>
      <c r="Q96" s="8"/>
      <c r="R96" s="8"/>
      <c r="S96" s="8"/>
      <c r="T96" s="8"/>
      <c r="U96" s="8"/>
      <c r="V96" s="8"/>
      <c r="W96" s="8"/>
      <c r="X96" s="8"/>
      <c r="Y96" s="8"/>
      <c r="Z96" s="8"/>
    </row>
    <row r="97" ht="12.75" customHeight="1">
      <c r="A97" s="8"/>
      <c r="B97" s="8"/>
      <c r="C97" s="8"/>
      <c r="D97" s="8"/>
      <c r="E97" s="8"/>
      <c r="F97" s="8"/>
      <c r="G97" s="8"/>
      <c r="H97" s="8"/>
      <c r="I97" s="8"/>
      <c r="J97" s="8"/>
      <c r="K97" s="8"/>
      <c r="L97" s="8"/>
      <c r="M97" s="8"/>
      <c r="N97" s="8"/>
      <c r="O97" s="8"/>
      <c r="P97" s="8"/>
      <c r="Q97" s="8"/>
      <c r="R97" s="8"/>
      <c r="S97" s="8"/>
      <c r="T97" s="8"/>
      <c r="U97" s="8"/>
      <c r="V97" s="8"/>
      <c r="W97" s="8"/>
      <c r="X97" s="8"/>
      <c r="Y97" s="8"/>
      <c r="Z97" s="8"/>
    </row>
    <row r="98" ht="12.75" customHeight="1">
      <c r="A98" s="8"/>
      <c r="B98" s="8"/>
      <c r="C98" s="8"/>
      <c r="D98" s="8"/>
      <c r="E98" s="8"/>
      <c r="F98" s="8"/>
      <c r="G98" s="8"/>
      <c r="H98" s="8"/>
      <c r="I98" s="8"/>
      <c r="J98" s="8"/>
      <c r="K98" s="8"/>
      <c r="L98" s="8"/>
      <c r="M98" s="8"/>
      <c r="N98" s="8"/>
      <c r="O98" s="8"/>
      <c r="P98" s="8"/>
      <c r="Q98" s="8"/>
      <c r="R98" s="8"/>
      <c r="S98" s="8"/>
      <c r="T98" s="8"/>
      <c r="U98" s="8"/>
      <c r="V98" s="8"/>
      <c r="W98" s="8"/>
      <c r="X98" s="8"/>
      <c r="Y98" s="8"/>
      <c r="Z98" s="8"/>
    </row>
    <row r="99" ht="12.75" customHeight="1">
      <c r="A99" s="8"/>
      <c r="B99" s="8"/>
      <c r="C99" s="8"/>
      <c r="D99" s="8"/>
      <c r="E99" s="8"/>
      <c r="F99" s="8"/>
      <c r="G99" s="8"/>
      <c r="H99" s="8"/>
      <c r="I99" s="8"/>
      <c r="J99" s="8"/>
      <c r="K99" s="8"/>
      <c r="L99" s="8"/>
      <c r="M99" s="8"/>
      <c r="N99" s="8"/>
      <c r="O99" s="8"/>
      <c r="P99" s="8"/>
      <c r="Q99" s="8"/>
      <c r="R99" s="8"/>
      <c r="S99" s="8"/>
      <c r="T99" s="8"/>
      <c r="U99" s="8"/>
      <c r="V99" s="8"/>
      <c r="W99" s="8"/>
      <c r="X99" s="8"/>
      <c r="Y99" s="8"/>
      <c r="Z99" s="8"/>
    </row>
    <row r="100" ht="12.75" customHeight="1">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2.75" customHeight="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2.75" customHeight="1">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2.75" customHeight="1">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2.75" customHeight="1">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ht="12.75" customHeight="1">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2.75" customHeight="1">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ht="12.75" customHeight="1">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2.75" customHeight="1">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ht="12.75" customHeight="1">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ht="12.75" customHeight="1">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ht="12.75" customHeight="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ht="12.75" customHeight="1">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ht="12.75" customHeight="1">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ht="12.75" customHeight="1">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ht="12.75" customHeight="1">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ht="12.75" customHeight="1">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2.75" customHeight="1">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2.75" customHeight="1">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2.75" customHeight="1">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2.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2.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2.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2.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2.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2.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2.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2.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2.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2.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2.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2.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2.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2.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2.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2.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2.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2.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2.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2.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2.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2.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2.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2.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2.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2.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2.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2.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2.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2.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2.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2.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2.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2.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2.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2.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2.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2.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2.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2.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2.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2.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2.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2.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2.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2.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2.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2.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2.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2.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2.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2.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2.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2.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2.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2.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2.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2.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2.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2.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2.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2.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2.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2.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2.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2.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2.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2.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2.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2.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2.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2.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2.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2.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2.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2.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2.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2.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2.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2.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2.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2.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2.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2.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2.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2.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2.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2.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2.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2.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2.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2.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2.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2.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2.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2.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2.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2.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2.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2.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2.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2.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2.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2.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2.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2.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2.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2.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2.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2.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2.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2.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2.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2.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2.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2.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2.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2.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2.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2.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2.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2.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2.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2.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2.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2.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2.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2.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2.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2.75" customHeight="1">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2.75" customHeight="1">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2.75" customHeight="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2.75" customHeight="1">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2.75" customHeight="1">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2.75" customHeight="1">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2.75" customHeight="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2.75" customHeight="1">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2.75" customHeight="1">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2.75" customHeight="1">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2.75" customHeight="1">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2.75" customHeight="1">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2.75" customHeight="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2.75" customHeight="1">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2.75" customHeight="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2.75" customHeight="1">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2.75" customHeight="1">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2.75" customHeight="1">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2.75" customHeight="1">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2.75" customHeight="1">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2.75" customHeight="1">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2.75" customHeight="1">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2.75" customHeight="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2.75" customHeight="1">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2.75" customHeight="1">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2.75" customHeight="1">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2.75" customHeight="1">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2.75" customHeight="1">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2.75" customHeight="1">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2.75" customHeight="1">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2.75" customHeight="1">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2.75" customHeight="1">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2.75" customHeight="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2.75" customHeight="1">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2.75" customHeight="1">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2.75" customHeight="1">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2.75" customHeight="1">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2.75" customHeight="1">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2.75" customHeight="1">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2.75" customHeight="1">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2.75" customHeight="1">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2.75" customHeight="1">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2.75" customHeight="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2.75" customHeight="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2.75" customHeight="1">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2.75" customHeight="1">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2.75" customHeight="1">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2.75" customHeight="1">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2.75" customHeight="1">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2.75" customHeight="1">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2.75" customHeight="1">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2.75" customHeight="1">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2.75" customHeight="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2.75" customHeight="1">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2.75" customHeight="1">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2.75" customHeight="1">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2.75" customHeight="1">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2.75" customHeight="1">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2.75" customHeight="1">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2.75" customHeight="1">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2.75" customHeight="1">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2.75" customHeight="1">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2.75" customHeight="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2.75" customHeight="1">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2.75" customHeight="1">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2.75" customHeight="1">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2.75" customHeight="1">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2.75" customHeight="1">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2.75" customHeight="1">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2.75" customHeight="1">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2.75" customHeight="1">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2.75" customHeight="1">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2.75" customHeight="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2.75" customHeight="1">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2.75" customHeight="1">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2.75" customHeight="1">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2.75" customHeight="1">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2.75" customHeight="1">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2.75" customHeight="1">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2.75" customHeight="1">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2.75" customHeight="1">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2.75" customHeight="1">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2.75" customHeight="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2.75" customHeight="1">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2.75" customHeight="1">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2.75" customHeight="1">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2.75" customHeight="1">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2.75" customHeight="1">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2.75" customHeight="1">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2.75" customHeight="1">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2.75" customHeight="1">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2.75" customHeight="1">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2.75" customHeight="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2.75" customHeight="1">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2.75" customHeight="1">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2.75" customHeight="1">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2.75" customHeight="1">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2.75" customHeight="1">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2.75" customHeight="1">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2.75" customHeight="1">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2.75" customHeight="1">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2.75" customHeight="1">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2.75" customHeight="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2.75" customHeight="1">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2.75" customHeight="1">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2.75" customHeight="1">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2.75" customHeight="1">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2.75" customHeight="1">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2.75" customHeight="1">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2.75" customHeight="1">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2.75" customHeight="1">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2.75" customHeight="1">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2.75" customHeight="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2.75" customHeight="1">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2.75" customHeight="1">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2.75" customHeight="1">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2.75" customHeight="1">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2.75" customHeight="1">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2.75" customHeight="1">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2.75" customHeight="1">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2.75" customHeight="1">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2.75" customHeight="1">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2.75" customHeight="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2.75" customHeight="1">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2.75" customHeight="1">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2.75" customHeight="1">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2.75" customHeight="1">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2.75" customHeight="1">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2.75" customHeight="1">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2.75" customHeight="1">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2.75" customHeight="1">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2.75" customHeight="1">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2.75" customHeight="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2.75" customHeight="1">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2.75" customHeight="1">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2.75" customHeight="1">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2.75" customHeight="1">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2.75" customHeight="1">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2.75" customHeight="1">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2.75" customHeight="1">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2.75" customHeight="1">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2.75" customHeight="1">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2.75" customHeight="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2.75" customHeight="1">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2.75" customHeight="1">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2.75" customHeight="1">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2.75" customHeight="1">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2.75" customHeight="1">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2.75" customHeight="1">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2.75" customHeight="1">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2.75" customHeight="1">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2.75" customHeight="1">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2.75" customHeight="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2.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2.75" customHeight="1">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2.75" customHeight="1">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2.75" customHeight="1">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2.75" customHeight="1">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2.75" customHeight="1">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2.75" customHeight="1">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2.75" customHeight="1">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2.75" customHeight="1">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2.75" customHeight="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2.75" customHeight="1">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2.75" customHeight="1">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2.75" customHeight="1">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2.75" customHeight="1">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2.75" customHeight="1">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2.75" customHeight="1">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2.75" customHeight="1">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2.75" customHeight="1">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2.75" customHeight="1">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2.75" customHeight="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2.75" customHeight="1">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2.75" customHeight="1">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2.75" customHeight="1">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2.75" customHeight="1">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2.75" customHeight="1">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2.75" customHeight="1">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2.75" customHeight="1">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2.75" customHeight="1">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2.75" customHeight="1">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2.75" customHeight="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2.75" customHeight="1">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2.75" customHeight="1">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2.75" customHeight="1">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2.75" customHeight="1">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2.75" customHeight="1">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2.75" customHeight="1">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2.75" customHeight="1">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2.75" customHeight="1">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2.75" customHeight="1">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2.75" customHeight="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2.75" customHeight="1">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2.75" customHeight="1">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2.75" customHeight="1">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2.75" customHeight="1">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2.75" customHeight="1">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2.75" customHeight="1">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2.75" customHeight="1">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2.75" customHeight="1">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2.75" customHeight="1">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2.75" customHeight="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2.75" customHeight="1">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2.75" customHeight="1">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2.75" customHeight="1">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2.75" customHeight="1">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2.75" customHeight="1">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2.75" customHeight="1">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2.75" customHeight="1">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2.75" customHeight="1">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2.75" customHeight="1">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2.75" customHeight="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2.75" customHeight="1">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2.75" customHeight="1">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2.75" customHeight="1">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2.75" customHeight="1">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2.75" customHeight="1">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2.75" customHeight="1">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2.75" customHeight="1">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2.75" customHeight="1">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2.75" customHeight="1">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2.75" customHeight="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2.75" customHeight="1">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2.75" customHeight="1">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2.75" customHeight="1">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2.75" customHeight="1">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2.75" customHeight="1">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2.75" customHeight="1">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2.75" customHeight="1">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2.75" customHeight="1">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2.75" customHeight="1">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2.75" customHeight="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2.75" customHeight="1">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2.75" customHeight="1">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2.75" customHeight="1">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2.75" customHeight="1">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2.75" customHeight="1">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2.75" customHeight="1">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2.75" customHeight="1">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2.75" customHeight="1">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2.75" customHeight="1">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2.75" customHeight="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2.75" customHeight="1">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2.75" customHeight="1">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2.75" customHeight="1">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2.75" customHeight="1">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2.75" customHeight="1">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2.75" customHeight="1">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2.75" customHeight="1">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2.75" customHeight="1">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2.75" customHeight="1">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2.75" customHeight="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2.75" customHeight="1">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2.75" customHeight="1">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2.75" customHeight="1">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2.75" customHeight="1">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2.75" customHeight="1">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2.75" customHeight="1">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2.75" customHeight="1">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2.75" customHeight="1">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2.75" customHeight="1">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2.75" customHeight="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2.75" customHeight="1">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2.75" customHeight="1">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2.75" customHeight="1">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2.75" customHeight="1">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2.75" customHeight="1">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2.75" customHeight="1">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2.75" customHeight="1">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2.75" customHeight="1">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2.75" customHeight="1">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2.75" customHeight="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2.75" customHeight="1">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2.75" customHeight="1">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2.75" customHeight="1">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2.75" customHeight="1">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2.75" customHeight="1">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2.75" customHeight="1">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2.75" customHeight="1">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2.75" customHeight="1">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2.75" customHeight="1">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2.75" customHeight="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2.75" customHeight="1">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2.75" customHeight="1">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2.75" customHeight="1">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2.75" customHeight="1">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2.75" customHeight="1">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2.75" customHeight="1">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2.75" customHeight="1">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2.75" customHeight="1">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2.75" customHeight="1">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2.75" customHeight="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2.75" customHeight="1">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2.75" customHeight="1">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2.75" customHeight="1">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2.75" customHeight="1">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2.75" customHeight="1">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2.75" customHeight="1">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2.75" customHeight="1">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2.75" customHeight="1">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2.75" customHeight="1">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2.75" customHeight="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2.75" customHeight="1">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2.75" customHeight="1">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2.75" customHeight="1">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2.75" customHeight="1">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2.75" customHeight="1">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2.75" customHeight="1">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2.75" customHeight="1">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2.75" customHeight="1">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2.75" customHeight="1">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2.75" customHeight="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2.75" customHeight="1">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2.75" customHeight="1">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2.75" customHeight="1">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2.75" customHeight="1">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2.75" customHeight="1">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2.75" customHeight="1">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2.75" customHeight="1">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2.75" customHeight="1">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2.75" customHeight="1">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2.75" customHeight="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2.75" customHeight="1">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2.75" customHeight="1">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2.75" customHeight="1">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2.75" customHeight="1">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2.75" customHeight="1">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2.75" customHeight="1">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2.75" customHeight="1">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2.75" customHeight="1">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2.75" customHeight="1">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2.75" customHeight="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2.75" customHeight="1">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2.75" customHeight="1">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2.75" customHeight="1">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2.75" customHeight="1">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2.75" customHeight="1">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2.75" customHeight="1">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2.75" customHeight="1">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2.75" customHeight="1">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2.75" customHeight="1">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2.75" customHeight="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2.75" customHeight="1">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2.75" customHeight="1">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2.75" customHeight="1">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2.75" customHeight="1">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2.75" customHeight="1">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2.75" customHeight="1">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2.75" customHeight="1">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2.75" customHeight="1">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2.75" customHeight="1">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2.75" customHeight="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2.75" customHeight="1">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2.75" customHeight="1">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2.75" customHeight="1">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2.75" customHeight="1">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2.75" customHeight="1">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2.75" customHeight="1">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2.75" customHeight="1">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2.75" customHeight="1">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2.75" customHeight="1">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2.75" customHeight="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2.75" customHeight="1">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2.75" customHeight="1">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2.75" customHeight="1">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2.75" customHeight="1">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2.75" customHeight="1">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2.75" customHeight="1">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2.75" customHeight="1">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2.75" customHeight="1">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2.75" customHeight="1">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2.75" customHeight="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2.75" customHeight="1">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2.75" customHeight="1">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2.75" customHeight="1">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2.75" customHeight="1">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2.75" customHeight="1">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2.75" customHeight="1">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2.75" customHeight="1">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2.75" customHeight="1">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2.75" customHeight="1">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2.75" customHeight="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2.75" customHeight="1">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2.75" customHeight="1">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2.75" customHeight="1">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2.75" customHeight="1">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2.75" customHeight="1">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2.75" customHeight="1">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2.75" customHeight="1">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2.75" customHeight="1">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2.75" customHeight="1">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2.75" customHeight="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2.75" customHeight="1">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2.75" customHeight="1">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2.75" customHeight="1">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2.75" customHeight="1">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2.75" customHeight="1">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2.75" customHeight="1">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2.75" customHeight="1">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2.75" customHeight="1">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2.75" customHeight="1">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2.75" customHeight="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2.75" customHeight="1">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2.75" customHeight="1">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2.75" customHeight="1">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2.75" customHeight="1">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2.75" customHeight="1">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2.75" customHeight="1">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2.75" customHeight="1">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2.75" customHeight="1">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2.75" customHeight="1">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2.75" customHeight="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2.75" customHeight="1">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2.75" customHeight="1">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2.75" customHeight="1">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2.75" customHeight="1">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2.75" customHeight="1">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2.75" customHeight="1">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2.75" customHeight="1">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2.75" customHeight="1">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2.75" customHeight="1">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2.75" customHeight="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2.75" customHeight="1">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2.75" customHeight="1">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2.75" customHeight="1">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2.75" customHeight="1">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2.75" customHeight="1">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2.75" customHeight="1">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2.75" customHeight="1">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2.75" customHeight="1">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2.75" customHeight="1">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2.75" customHeight="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2.75" customHeight="1">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2.75" customHeight="1">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2.75" customHeight="1">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2.75" customHeight="1">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2.75" customHeight="1">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2.75" customHeight="1">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2.75" customHeight="1">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2.75" customHeight="1">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2.75" customHeight="1">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2.75" customHeight="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2.75" customHeight="1">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2.75" customHeight="1">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2.75" customHeight="1">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2.75" customHeight="1">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2.75" customHeight="1">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2.75" customHeight="1">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2.75" customHeight="1">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2.75" customHeight="1">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2.75" customHeight="1">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2.75" customHeight="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2.75" customHeight="1">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2.75" customHeight="1">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2.75" customHeight="1">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2.75" customHeight="1">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2.75" customHeight="1">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2.75" customHeight="1">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2.75" customHeight="1">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2.75" customHeight="1">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2.75" customHeight="1">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2.75" customHeight="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2.75" customHeight="1">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2.75" customHeight="1">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2.75" customHeight="1">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2.75" customHeight="1">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2.75" customHeight="1">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2.75" customHeight="1">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2.75" customHeight="1">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2.75" customHeight="1">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2.75" customHeight="1">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2.75" customHeight="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2.75" customHeight="1">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2.75" customHeight="1">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2.75" customHeight="1">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2.75" customHeight="1">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2.75" customHeight="1">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2.75" customHeight="1">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2.75" customHeight="1">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2.75" customHeight="1">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2.75" customHeight="1">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2.75" customHeight="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2.75" customHeight="1">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2.75" customHeight="1">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2.75" customHeight="1">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2.75" customHeight="1">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2.75" customHeight="1">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2.75" customHeight="1">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2.75" customHeight="1">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2.75" customHeight="1">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2.75" customHeight="1">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2.75" customHeight="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2.75" customHeight="1">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2.75" customHeight="1">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2.75" customHeight="1">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2.75" customHeight="1">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2.75" customHeight="1">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2.75" customHeight="1">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2.75" customHeight="1">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2.75" customHeight="1">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2.75" customHeight="1">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2.75" customHeight="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2.75" customHeight="1">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2.75" customHeight="1">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2.75" customHeight="1">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2.75" customHeight="1">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2.75" customHeight="1">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2.75" customHeight="1">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2.75" customHeight="1">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2.75" customHeight="1">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2.75" customHeight="1">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2.75" customHeight="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2.75" customHeight="1">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2.75" customHeight="1">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2.75" customHeight="1">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2.75" customHeight="1">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2.75" customHeight="1">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2.75" customHeight="1">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2.75" customHeight="1">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2.75" customHeight="1">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2.75" customHeight="1">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2.75" customHeight="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2.75" customHeight="1">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2.75" customHeight="1">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2.75" customHeight="1">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2.75" customHeight="1">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2.75" customHeight="1">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2.75" customHeight="1">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2.75" customHeight="1">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2.75" customHeight="1">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2.75" customHeight="1">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2.75" customHeight="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2.75" customHeight="1">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2.75" customHeight="1">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2.75" customHeight="1">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2.75" customHeight="1">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2.75" customHeight="1">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2.75" customHeight="1">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2.75" customHeight="1">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2.75" customHeight="1">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2.75" customHeight="1">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2.75" customHeight="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2.75" customHeight="1">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2.75" customHeight="1">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2.75" customHeight="1">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2.75" customHeight="1">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2.75" customHeight="1">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2.75" customHeight="1">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2.75" customHeight="1">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2.75" customHeight="1">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2.75" customHeight="1">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2.75" customHeight="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2.75" customHeight="1">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2.75" customHeight="1">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2.75" customHeight="1">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2.75" customHeight="1">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2.75" customHeight="1">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2.75" customHeight="1">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2.75" customHeight="1">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2.75" customHeight="1">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2.75" customHeight="1">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2.75" customHeight="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2.75" customHeight="1">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2.75" customHeight="1">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2.75" customHeight="1">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2.75" customHeight="1">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2.75" customHeight="1">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2.75" customHeight="1">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2.75" customHeight="1">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2.75" customHeight="1">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2.75" customHeight="1">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2.75" customHeight="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2.75" customHeight="1">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2.75" customHeight="1">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2.75" customHeight="1">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2.75" customHeight="1">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2.75" customHeight="1">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2.75" customHeight="1">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2.75" customHeight="1">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2.75" customHeight="1">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2.75" customHeight="1">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2.75" customHeight="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2.75" customHeight="1">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2.75" customHeight="1">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2.75" customHeight="1">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2.75" customHeight="1">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2.75" customHeight="1">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2.75" customHeight="1">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2.75" customHeight="1">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2.75" customHeight="1">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2.75" customHeight="1">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2.75" customHeight="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2.75" customHeight="1">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2.75" customHeight="1">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2.75" customHeight="1">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2.75" customHeight="1">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2.75" customHeight="1">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2.75" customHeight="1">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2.75" customHeight="1">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2.75" customHeight="1">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2.75" customHeight="1">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2.75" customHeight="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2.75" customHeight="1">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2.75" customHeight="1">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2.75" customHeight="1">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2.75" customHeight="1">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2.75" customHeight="1">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2.75" customHeight="1">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2.75" customHeight="1">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2.75" customHeight="1">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2.75" customHeight="1">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2.75" customHeight="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2.75" customHeight="1">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2.75" customHeight="1">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2.75" customHeight="1">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2.75" customHeight="1">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2.75" customHeight="1">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2.75" customHeight="1">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2.75" customHeight="1">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2.75" customHeight="1">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2.75" customHeight="1">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2.75" customHeight="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2.75" customHeight="1">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2.75" customHeight="1">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2.75" customHeight="1">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2.75" customHeight="1">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2.75" customHeight="1">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2.75" customHeight="1">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2.75" customHeight="1">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2.75" customHeight="1">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2.75" customHeight="1">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2.75" customHeight="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2.75" customHeight="1">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2.75" customHeight="1">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2.75" customHeight="1">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2.75" customHeight="1">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2.75" customHeight="1">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2.75" customHeight="1">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2.75" customHeight="1">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2.75" customHeight="1">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2.75" customHeight="1">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2.75" customHeight="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2.75" customHeight="1">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2.75" customHeight="1">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2.75" customHeight="1">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2.75" customHeight="1">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2.75" customHeight="1">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2.75" customHeight="1">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2.75" customHeight="1">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2.75" customHeight="1">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2.75" customHeight="1">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2.75" customHeight="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2.75" customHeight="1">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2.75" customHeight="1">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2.75" customHeight="1">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2.75" customHeight="1">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2.75" customHeight="1">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2.75" customHeight="1">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2.75" customHeight="1">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2.75" customHeight="1">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2.75" customHeight="1">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2.75" customHeight="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2.75" customHeight="1">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2.75" customHeight="1">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2.75" customHeight="1">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2.75" customHeight="1">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2.75" customHeight="1">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2.75" customHeight="1">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2.75" customHeight="1">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2.75" customHeight="1">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2.75" customHeight="1">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2.75" customHeight="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2.75" customHeight="1">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2.75" customHeight="1">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2.75" customHeight="1">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2.75" customHeight="1">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2.75" customHeight="1">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2.75" customHeight="1">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2.75" customHeight="1">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2.75" customHeight="1">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2.75" customHeight="1">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2.75" customHeight="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2.75" customHeight="1">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2.75" customHeight="1">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2.75" customHeight="1">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2.75" customHeight="1">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2.75" customHeight="1">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2.75" customHeight="1">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2.75" customHeight="1">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2.75" customHeight="1">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2.75" customHeight="1">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2.75" customHeight="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2.75" customHeight="1">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2.75" customHeight="1">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2.75" customHeight="1">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2.75" customHeight="1">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2.75" customHeight="1">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2.75" customHeight="1">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2.75" customHeight="1">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2.75" customHeight="1">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2.75" customHeight="1">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2.75" customHeight="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2.75" customHeight="1">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2.75" customHeight="1">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2.75" customHeight="1">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2.75" customHeight="1">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2.75" customHeight="1">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2.75" customHeight="1">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2.75" customHeight="1">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2.75" customHeight="1">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2.75" customHeight="1">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2.75" customHeight="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2.75" customHeight="1">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2.75" customHeight="1">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2.75" customHeight="1">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2.75" customHeight="1">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2.75" customHeight="1">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2.75" customHeight="1">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2.75" customHeight="1">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2.75" customHeight="1">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2.75" customHeight="1">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2.75" customHeight="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2.75" customHeight="1">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2.75" customHeight="1">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2.75" customHeight="1">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2.75" customHeight="1">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2.75" customHeight="1">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2.75" customHeight="1">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2.75" customHeight="1">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2.75" customHeight="1">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2.75" customHeight="1">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2.75" customHeight="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2.75" customHeight="1">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2.75" customHeight="1">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2.75" customHeight="1">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2.75" customHeight="1">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2.75" customHeight="1">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2.75" customHeight="1">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2.75" customHeight="1">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2.75" customHeight="1">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2.75" customHeight="1">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2.75" customHeight="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2.75" customHeight="1">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2.75" customHeight="1">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2.75" customHeight="1">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2.75" customHeight="1">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2.75" customHeight="1">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2.75" customHeight="1">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2.75" customHeight="1">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2.75" customHeight="1">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2.75" customHeight="1">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1">
    <mergeCell ref="D3:J6"/>
  </mergeCells>
  <printOptions/>
  <pageMargins bottom="1.025" footer="0.0" header="0.0" left="0.7875" right="0.7875" top="1.025"/>
  <pageSetup paperSize="9" orientation="portrait"/>
  <headerFooter>
    <oddHeader>&amp;C&amp;A</oddHeader>
    <oddFooter>&amp;CPage &amp;P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13"/>
    <col customWidth="1" min="2" max="2" width="17.63"/>
    <col customWidth="1" min="3" max="3" width="19.0"/>
    <col customWidth="1" min="4" max="4" width="16.0"/>
    <col customWidth="1" min="5" max="9" width="11.0"/>
    <col customWidth="1" min="10" max="26" width="11.5"/>
  </cols>
  <sheetData>
    <row r="1" ht="12.75" customHeight="1">
      <c r="A1" s="41" t="s">
        <v>40</v>
      </c>
      <c r="B1" s="42"/>
      <c r="C1" s="42"/>
      <c r="D1" s="43"/>
    </row>
    <row r="2" ht="12.75" customHeight="1">
      <c r="A2" s="44"/>
      <c r="B2" s="45"/>
      <c r="C2" s="45"/>
      <c r="D2" s="46"/>
    </row>
    <row r="3" ht="12.75" customHeight="1"/>
    <row r="4" ht="12.75" customHeight="1"/>
    <row r="5" ht="21.75" customHeight="1">
      <c r="A5" s="47"/>
      <c r="B5" s="48">
        <v>2024.0</v>
      </c>
      <c r="C5" s="48">
        <v>2025.0</v>
      </c>
      <c r="D5" s="48" t="s">
        <v>41</v>
      </c>
    </row>
    <row r="6" ht="12.75" customHeight="1">
      <c r="A6" s="49" t="s">
        <v>42</v>
      </c>
      <c r="B6" s="50">
        <v>56000.0</v>
      </c>
      <c r="C6" s="50">
        <v>65000.0</v>
      </c>
      <c r="D6" s="51">
        <f t="shared" ref="D6:D18" si="1">(C6-B6)/B6</f>
        <v>0.1607142857</v>
      </c>
    </row>
    <row r="7" ht="12.75" customHeight="1">
      <c r="A7" s="49" t="s">
        <v>43</v>
      </c>
      <c r="B7" s="50">
        <v>89000.0</v>
      </c>
      <c r="C7" s="50">
        <v>92000.0</v>
      </c>
      <c r="D7" s="51">
        <f t="shared" si="1"/>
        <v>0.03370786517</v>
      </c>
    </row>
    <row r="8" ht="12.75" customHeight="1">
      <c r="A8" s="49" t="s">
        <v>44</v>
      </c>
      <c r="B8" s="50">
        <v>12000.0</v>
      </c>
      <c r="C8" s="50">
        <v>15000.0</v>
      </c>
      <c r="D8" s="51">
        <f t="shared" si="1"/>
        <v>0.25</v>
      </c>
    </row>
    <row r="9" ht="12.75" customHeight="1">
      <c r="A9" s="49" t="s">
        <v>45</v>
      </c>
      <c r="B9" s="50">
        <v>45000.0</v>
      </c>
      <c r="C9" s="50">
        <v>56000.0</v>
      </c>
      <c r="D9" s="51">
        <f t="shared" si="1"/>
        <v>0.2444444444</v>
      </c>
    </row>
    <row r="10" ht="12.75" customHeight="1">
      <c r="A10" s="49" t="s">
        <v>46</v>
      </c>
      <c r="B10" s="50">
        <v>48000.0</v>
      </c>
      <c r="C10" s="50">
        <v>45000.0</v>
      </c>
      <c r="D10" s="51">
        <f t="shared" si="1"/>
        <v>-0.0625</v>
      </c>
      <c r="F10" s="52" t="s">
        <v>47</v>
      </c>
      <c r="G10" s="32"/>
      <c r="H10" s="32"/>
      <c r="I10" s="33"/>
    </row>
    <row r="11" ht="12.75" customHeight="1">
      <c r="A11" s="49" t="s">
        <v>48</v>
      </c>
      <c r="B11" s="50">
        <v>56000.0</v>
      </c>
      <c r="C11" s="50">
        <v>58000.0</v>
      </c>
      <c r="D11" s="51">
        <f t="shared" si="1"/>
        <v>0.03571428571</v>
      </c>
      <c r="F11" s="35"/>
      <c r="I11" s="36"/>
    </row>
    <row r="12" ht="12.75" customHeight="1">
      <c r="A12" s="49" t="s">
        <v>49</v>
      </c>
      <c r="B12" s="50">
        <v>78000.0</v>
      </c>
      <c r="C12" s="50">
        <v>82000.0</v>
      </c>
      <c r="D12" s="51">
        <f t="shared" si="1"/>
        <v>0.05128205128</v>
      </c>
      <c r="F12" s="35"/>
      <c r="I12" s="36"/>
    </row>
    <row r="13" ht="12.75" customHeight="1">
      <c r="A13" s="49" t="s">
        <v>50</v>
      </c>
      <c r="B13" s="50">
        <v>68000.0</v>
      </c>
      <c r="C13" s="50">
        <v>45000.0</v>
      </c>
      <c r="D13" s="51">
        <f t="shared" si="1"/>
        <v>-0.3382352941</v>
      </c>
      <c r="F13" s="35"/>
      <c r="I13" s="36"/>
    </row>
    <row r="14" ht="12.75" customHeight="1">
      <c r="A14" s="49" t="s">
        <v>51</v>
      </c>
      <c r="B14" s="50">
        <v>145000.0</v>
      </c>
      <c r="C14" s="50">
        <v>165000.0</v>
      </c>
      <c r="D14" s="51">
        <f t="shared" si="1"/>
        <v>0.1379310345</v>
      </c>
      <c r="F14" s="38"/>
      <c r="G14" s="39"/>
      <c r="H14" s="39"/>
      <c r="I14" s="40"/>
    </row>
    <row r="15" ht="12.75" customHeight="1">
      <c r="A15" s="49" t="s">
        <v>52</v>
      </c>
      <c r="B15" s="50">
        <v>45000.0</v>
      </c>
      <c r="C15" s="50">
        <v>48000.0</v>
      </c>
      <c r="D15" s="51">
        <f t="shared" si="1"/>
        <v>0.06666666667</v>
      </c>
    </row>
    <row r="16" ht="12.75" customHeight="1">
      <c r="A16" s="49" t="s">
        <v>53</v>
      </c>
      <c r="B16" s="50">
        <v>12000.0</v>
      </c>
      <c r="C16" s="50">
        <v>19000.0</v>
      </c>
      <c r="D16" s="51">
        <f t="shared" si="1"/>
        <v>0.5833333333</v>
      </c>
    </row>
    <row r="17" ht="12.75" customHeight="1">
      <c r="A17" s="49" t="s">
        <v>54</v>
      </c>
      <c r="B17" s="50">
        <v>21000.0</v>
      </c>
      <c r="C17" s="50">
        <v>29000.0</v>
      </c>
      <c r="D17" s="51">
        <f t="shared" si="1"/>
        <v>0.380952381</v>
      </c>
    </row>
    <row r="18" ht="12.75" customHeight="1">
      <c r="A18" s="53" t="s">
        <v>55</v>
      </c>
      <c r="B18" s="54">
        <f t="shared" ref="B18:C18" si="2">SUM(B6:B17)</f>
        <v>675000</v>
      </c>
      <c r="C18" s="54">
        <f t="shared" si="2"/>
        <v>719000</v>
      </c>
      <c r="D18" s="51">
        <f t="shared" si="1"/>
        <v>0.06518518519</v>
      </c>
    </row>
    <row r="19" ht="12.75" customHeight="1">
      <c r="D19" s="51"/>
    </row>
    <row r="20" ht="12.75" customHeight="1"/>
    <row r="21" ht="12.75" customHeight="1"/>
    <row r="22" ht="12.75" customHeight="1"/>
    <row r="23" ht="12.75" customHeight="1"/>
    <row r="24" ht="12.75" customHeight="1"/>
    <row r="25" ht="12.75" customHeight="1"/>
    <row r="26" ht="12.75" customHeight="1"/>
    <row r="27" ht="12.75" customHeight="1">
      <c r="C27" s="55"/>
    </row>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2">
    <mergeCell ref="A1:D2"/>
    <mergeCell ref="F10:I14"/>
  </mergeCells>
  <printOptions/>
  <pageMargins bottom="1.025" footer="0.0" header="0.0" left="0.7875" right="0.7875" top="1.025"/>
  <pageSetup paperSize="9" orientation="portrait"/>
  <headerFooter>
    <oddHeader>&amp;C&amp;A</oddHeader>
    <oddFooter>&amp;CPage &amp;P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63"/>
    <col customWidth="1" min="2" max="2" width="19.5"/>
    <col customWidth="1" min="3" max="3" width="14.5"/>
    <col customWidth="1" min="4" max="4" width="11.13"/>
    <col customWidth="1" min="5" max="5" width="24.13"/>
    <col customWidth="1" min="6" max="10" width="11.0"/>
    <col customWidth="1" min="11" max="26" width="11.5"/>
  </cols>
  <sheetData>
    <row r="1" ht="24.75" customHeight="1">
      <c r="A1" s="56" t="s">
        <v>56</v>
      </c>
      <c r="B1" s="6"/>
      <c r="C1" s="6"/>
      <c r="D1" s="6"/>
      <c r="E1" s="7"/>
      <c r="F1" s="8"/>
      <c r="G1" s="8"/>
      <c r="H1" s="8"/>
      <c r="I1" s="8"/>
      <c r="J1" s="8"/>
      <c r="K1" s="8"/>
      <c r="L1" s="8"/>
      <c r="M1" s="8"/>
      <c r="N1" s="8"/>
      <c r="O1" s="8"/>
      <c r="P1" s="8"/>
      <c r="Q1" s="8"/>
      <c r="R1" s="8"/>
      <c r="S1" s="8"/>
      <c r="T1" s="8"/>
      <c r="U1" s="8"/>
      <c r="V1" s="8"/>
      <c r="W1" s="8"/>
      <c r="X1" s="8"/>
      <c r="Y1" s="8"/>
      <c r="Z1" s="8"/>
    </row>
    <row r="2" ht="12.75" customHeight="1">
      <c r="A2" s="57" t="s">
        <v>57</v>
      </c>
      <c r="B2" s="57" t="s">
        <v>58</v>
      </c>
      <c r="C2" s="57" t="s">
        <v>59</v>
      </c>
      <c r="D2" s="57" t="s">
        <v>60</v>
      </c>
      <c r="E2" s="57" t="s">
        <v>61</v>
      </c>
      <c r="F2" s="8"/>
      <c r="G2" s="8"/>
      <c r="H2" s="8"/>
      <c r="I2" s="8"/>
      <c r="J2" s="8"/>
      <c r="K2" s="8"/>
      <c r="L2" s="8"/>
      <c r="M2" s="8"/>
      <c r="N2" s="8"/>
      <c r="O2" s="8"/>
      <c r="P2" s="8"/>
      <c r="Q2" s="8"/>
      <c r="R2" s="8"/>
      <c r="S2" s="8"/>
      <c r="T2" s="8"/>
      <c r="U2" s="8"/>
      <c r="V2" s="8"/>
      <c r="W2" s="8"/>
      <c r="X2" s="8"/>
      <c r="Y2" s="8"/>
      <c r="Z2" s="8"/>
    </row>
    <row r="3" ht="15.0" customHeight="1">
      <c r="A3" s="58">
        <v>3.6002965E7</v>
      </c>
      <c r="B3" s="59" t="s">
        <v>62</v>
      </c>
      <c r="C3" s="59" t="s">
        <v>63</v>
      </c>
      <c r="D3" s="60">
        <v>17.0</v>
      </c>
      <c r="E3" s="59" t="str">
        <f t="shared" ref="E3:E138" si="1">IF(D3&lt;10,"Ajourné","Admis")</f>
        <v>Admis</v>
      </c>
      <c r="F3" s="8"/>
      <c r="G3" s="8"/>
      <c r="H3" s="8"/>
      <c r="I3" s="8"/>
      <c r="J3" s="8"/>
      <c r="K3" s="8"/>
      <c r="L3" s="8"/>
      <c r="M3" s="8"/>
      <c r="N3" s="8"/>
      <c r="O3" s="8"/>
      <c r="P3" s="8"/>
      <c r="Q3" s="8"/>
      <c r="R3" s="8"/>
      <c r="S3" s="8"/>
      <c r="T3" s="8"/>
      <c r="U3" s="8"/>
      <c r="V3" s="8"/>
      <c r="W3" s="8"/>
      <c r="X3" s="8"/>
      <c r="Y3" s="8"/>
      <c r="Z3" s="8"/>
    </row>
    <row r="4" ht="15.0" customHeight="1">
      <c r="A4" s="58">
        <v>3.7003113E7</v>
      </c>
      <c r="B4" s="59" t="s">
        <v>64</v>
      </c>
      <c r="C4" s="59" t="s">
        <v>65</v>
      </c>
      <c r="D4" s="60">
        <v>9.0</v>
      </c>
      <c r="E4" s="59" t="str">
        <f t="shared" si="1"/>
        <v>Ajourné</v>
      </c>
      <c r="F4" s="8"/>
      <c r="G4" s="8"/>
      <c r="H4" s="8"/>
      <c r="I4" s="8"/>
      <c r="J4" s="8"/>
      <c r="K4" s="8"/>
      <c r="L4" s="8"/>
      <c r="M4" s="8"/>
      <c r="N4" s="8"/>
      <c r="O4" s="8"/>
      <c r="P4" s="8"/>
      <c r="Q4" s="8"/>
      <c r="R4" s="8"/>
      <c r="S4" s="8"/>
      <c r="T4" s="8"/>
      <c r="U4" s="8"/>
      <c r="V4" s="8"/>
      <c r="W4" s="8"/>
      <c r="X4" s="8"/>
      <c r="Y4" s="8"/>
      <c r="Z4" s="8"/>
    </row>
    <row r="5" ht="15.0" customHeight="1">
      <c r="A5" s="58">
        <v>3.8007491E7</v>
      </c>
      <c r="B5" s="59" t="s">
        <v>66</v>
      </c>
      <c r="C5" s="59" t="s">
        <v>67</v>
      </c>
      <c r="D5" s="60">
        <v>0.0</v>
      </c>
      <c r="E5" s="59" t="str">
        <f t="shared" si="1"/>
        <v>Ajourné</v>
      </c>
      <c r="F5" s="8"/>
      <c r="G5" s="52" t="s">
        <v>68</v>
      </c>
      <c r="H5" s="32"/>
      <c r="I5" s="32"/>
      <c r="J5" s="33"/>
      <c r="K5" s="8"/>
      <c r="L5" s="8"/>
      <c r="M5" s="8"/>
      <c r="N5" s="8"/>
      <c r="O5" s="8"/>
      <c r="P5" s="8"/>
      <c r="Q5" s="8"/>
      <c r="R5" s="8"/>
      <c r="S5" s="8"/>
      <c r="T5" s="8"/>
      <c r="U5" s="8"/>
      <c r="V5" s="8"/>
      <c r="W5" s="8"/>
      <c r="X5" s="8"/>
      <c r="Y5" s="8"/>
      <c r="Z5" s="8"/>
    </row>
    <row r="6" ht="15.0" customHeight="1">
      <c r="A6" s="58">
        <v>4.0007912E7</v>
      </c>
      <c r="B6" s="59" t="s">
        <v>69</v>
      </c>
      <c r="C6" s="59" t="s">
        <v>70</v>
      </c>
      <c r="D6" s="60">
        <v>13.0</v>
      </c>
      <c r="E6" s="59" t="str">
        <f t="shared" si="1"/>
        <v>Admis</v>
      </c>
      <c r="F6" s="8"/>
      <c r="G6" s="35"/>
      <c r="J6" s="36"/>
      <c r="K6" s="8"/>
      <c r="L6" s="8"/>
      <c r="M6" s="8"/>
      <c r="N6" s="8"/>
      <c r="O6" s="8"/>
      <c r="P6" s="8"/>
      <c r="Q6" s="8"/>
      <c r="R6" s="8"/>
      <c r="S6" s="8"/>
      <c r="T6" s="8"/>
      <c r="U6" s="8"/>
      <c r="V6" s="8"/>
      <c r="W6" s="8"/>
      <c r="X6" s="8"/>
      <c r="Y6" s="8"/>
      <c r="Z6" s="8"/>
    </row>
    <row r="7" ht="15.0" customHeight="1">
      <c r="A7" s="58">
        <v>3.8000969E7</v>
      </c>
      <c r="B7" s="59" t="s">
        <v>71</v>
      </c>
      <c r="C7" s="59" t="s">
        <v>72</v>
      </c>
      <c r="D7" s="60">
        <v>17.0</v>
      </c>
      <c r="E7" s="59" t="str">
        <f t="shared" si="1"/>
        <v>Admis</v>
      </c>
      <c r="F7" s="8"/>
      <c r="G7" s="35"/>
      <c r="J7" s="36"/>
      <c r="K7" s="8"/>
      <c r="L7" s="8"/>
      <c r="M7" s="8"/>
      <c r="N7" s="8"/>
      <c r="O7" s="8"/>
      <c r="P7" s="8"/>
      <c r="Q7" s="8"/>
      <c r="R7" s="8"/>
      <c r="S7" s="8"/>
      <c r="T7" s="8"/>
      <c r="U7" s="8"/>
      <c r="V7" s="8"/>
      <c r="W7" s="8"/>
      <c r="X7" s="8"/>
      <c r="Y7" s="8"/>
      <c r="Z7" s="8"/>
    </row>
    <row r="8" ht="15.0" customHeight="1">
      <c r="A8" s="58">
        <v>3.9003903E7</v>
      </c>
      <c r="B8" s="59" t="s">
        <v>73</v>
      </c>
      <c r="C8" s="59" t="s">
        <v>74</v>
      </c>
      <c r="D8" s="60">
        <v>13.0</v>
      </c>
      <c r="E8" s="59" t="str">
        <f t="shared" si="1"/>
        <v>Admis</v>
      </c>
      <c r="F8" s="8"/>
      <c r="G8" s="35"/>
      <c r="J8" s="36"/>
      <c r="K8" s="8"/>
      <c r="L8" s="8"/>
      <c r="M8" s="8"/>
      <c r="N8" s="8"/>
      <c r="O8" s="8"/>
      <c r="P8" s="8"/>
      <c r="Q8" s="8"/>
      <c r="R8" s="8"/>
      <c r="S8" s="8"/>
      <c r="T8" s="8"/>
      <c r="U8" s="8"/>
      <c r="V8" s="8"/>
      <c r="W8" s="8"/>
      <c r="X8" s="8"/>
      <c r="Y8" s="8"/>
      <c r="Z8" s="8"/>
    </row>
    <row r="9" ht="15.0" customHeight="1">
      <c r="A9" s="58">
        <v>3.7005349E7</v>
      </c>
      <c r="B9" s="59" t="s">
        <v>75</v>
      </c>
      <c r="C9" s="59" t="s">
        <v>76</v>
      </c>
      <c r="D9" s="60">
        <v>5.0</v>
      </c>
      <c r="E9" s="59" t="str">
        <f t="shared" si="1"/>
        <v>Ajourné</v>
      </c>
      <c r="F9" s="8"/>
      <c r="G9" s="38"/>
      <c r="H9" s="39"/>
      <c r="I9" s="39"/>
      <c r="J9" s="40"/>
      <c r="K9" s="8"/>
      <c r="L9" s="8"/>
      <c r="M9" s="8"/>
      <c r="N9" s="8"/>
      <c r="O9" s="8"/>
      <c r="P9" s="8"/>
      <c r="Q9" s="8"/>
      <c r="R9" s="8"/>
      <c r="S9" s="8"/>
      <c r="T9" s="8"/>
      <c r="U9" s="8"/>
      <c r="V9" s="8"/>
      <c r="W9" s="8"/>
      <c r="X9" s="8"/>
      <c r="Y9" s="8"/>
      <c r="Z9" s="8"/>
    </row>
    <row r="10" ht="15.0" customHeight="1">
      <c r="A10" s="58">
        <v>3.9006003E7</v>
      </c>
      <c r="B10" s="59" t="s">
        <v>77</v>
      </c>
      <c r="C10" s="59" t="s">
        <v>78</v>
      </c>
      <c r="D10" s="60">
        <v>19.0</v>
      </c>
      <c r="E10" s="59" t="str">
        <f t="shared" si="1"/>
        <v>Admis</v>
      </c>
      <c r="F10" s="8"/>
      <c r="G10" s="8"/>
      <c r="H10" s="8"/>
      <c r="I10" s="8"/>
      <c r="J10" s="8"/>
      <c r="K10" s="8"/>
      <c r="L10" s="8"/>
      <c r="M10" s="8"/>
      <c r="N10" s="8"/>
      <c r="O10" s="8"/>
      <c r="P10" s="8"/>
      <c r="Q10" s="8"/>
      <c r="R10" s="8"/>
      <c r="S10" s="8"/>
      <c r="T10" s="8"/>
      <c r="U10" s="8"/>
      <c r="V10" s="8"/>
      <c r="W10" s="8"/>
      <c r="X10" s="8"/>
      <c r="Y10" s="8"/>
      <c r="Z10" s="8"/>
    </row>
    <row r="11" ht="15.0" customHeight="1">
      <c r="A11" s="58">
        <v>3.9007437E7</v>
      </c>
      <c r="B11" s="59" t="s">
        <v>79</v>
      </c>
      <c r="C11" s="59" t="s">
        <v>80</v>
      </c>
      <c r="D11" s="60">
        <v>6.0</v>
      </c>
      <c r="E11" s="59" t="str">
        <f t="shared" si="1"/>
        <v>Ajourné</v>
      </c>
      <c r="F11" s="8"/>
      <c r="G11" s="8"/>
      <c r="H11" s="8"/>
      <c r="I11" s="8"/>
      <c r="J11" s="8"/>
      <c r="K11" s="8"/>
      <c r="L11" s="8"/>
      <c r="M11" s="8"/>
      <c r="N11" s="8"/>
      <c r="O11" s="8"/>
      <c r="P11" s="8"/>
      <c r="Q11" s="8"/>
      <c r="R11" s="8"/>
      <c r="S11" s="8"/>
      <c r="T11" s="8"/>
      <c r="U11" s="8"/>
      <c r="V11" s="8"/>
      <c r="W11" s="8"/>
      <c r="X11" s="8"/>
      <c r="Y11" s="8"/>
      <c r="Z11" s="8"/>
    </row>
    <row r="12" ht="15.0" customHeight="1">
      <c r="A12" s="58">
        <v>3.800367E7</v>
      </c>
      <c r="B12" s="59" t="s">
        <v>81</v>
      </c>
      <c r="C12" s="59" t="s">
        <v>82</v>
      </c>
      <c r="D12" s="60">
        <v>2.0</v>
      </c>
      <c r="E12" s="59" t="str">
        <f t="shared" si="1"/>
        <v>Ajourné</v>
      </c>
      <c r="F12" s="8"/>
      <c r="G12" s="8"/>
      <c r="H12" s="8"/>
      <c r="I12" s="8"/>
      <c r="J12" s="8"/>
      <c r="K12" s="8"/>
      <c r="L12" s="8"/>
      <c r="M12" s="8"/>
      <c r="N12" s="8"/>
      <c r="O12" s="8"/>
      <c r="P12" s="8"/>
      <c r="Q12" s="8"/>
      <c r="R12" s="8"/>
      <c r="S12" s="8"/>
      <c r="T12" s="8"/>
      <c r="U12" s="8"/>
      <c r="V12" s="8"/>
      <c r="W12" s="8"/>
      <c r="X12" s="8"/>
      <c r="Y12" s="8"/>
      <c r="Z12" s="8"/>
    </row>
    <row r="13" ht="15.0" customHeight="1">
      <c r="A13" s="58">
        <v>3.8005645E7</v>
      </c>
      <c r="B13" s="59" t="s">
        <v>83</v>
      </c>
      <c r="C13" s="59" t="s">
        <v>84</v>
      </c>
      <c r="D13" s="60">
        <v>9.0</v>
      </c>
      <c r="E13" s="59" t="str">
        <f t="shared" si="1"/>
        <v>Ajourné</v>
      </c>
      <c r="F13" s="8"/>
      <c r="G13" s="8"/>
      <c r="H13" s="8"/>
      <c r="I13" s="8"/>
      <c r="J13" s="8"/>
      <c r="K13" s="8"/>
      <c r="L13" s="8"/>
      <c r="M13" s="8"/>
      <c r="N13" s="8"/>
      <c r="O13" s="8"/>
      <c r="P13" s="8"/>
      <c r="Q13" s="8"/>
      <c r="R13" s="8"/>
      <c r="S13" s="8"/>
      <c r="T13" s="8"/>
      <c r="U13" s="8"/>
      <c r="V13" s="8"/>
      <c r="W13" s="8"/>
      <c r="X13" s="8"/>
      <c r="Y13" s="8"/>
      <c r="Z13" s="8"/>
    </row>
    <row r="14" ht="15.0" customHeight="1">
      <c r="A14" s="58">
        <v>3.9000419E7</v>
      </c>
      <c r="B14" s="59" t="s">
        <v>85</v>
      </c>
      <c r="C14" s="59" t="s">
        <v>86</v>
      </c>
      <c r="D14" s="60">
        <v>14.0</v>
      </c>
      <c r="E14" s="59" t="str">
        <f t="shared" si="1"/>
        <v>Admis</v>
      </c>
      <c r="F14" s="8"/>
      <c r="G14" s="8"/>
      <c r="H14" s="8"/>
      <c r="I14" s="8"/>
      <c r="J14" s="8"/>
      <c r="K14" s="8"/>
      <c r="L14" s="8"/>
      <c r="M14" s="8"/>
      <c r="N14" s="8"/>
      <c r="O14" s="8"/>
      <c r="P14" s="8"/>
      <c r="Q14" s="8"/>
      <c r="R14" s="8"/>
      <c r="S14" s="8"/>
      <c r="T14" s="8"/>
      <c r="U14" s="8"/>
      <c r="V14" s="8"/>
      <c r="W14" s="8"/>
      <c r="X14" s="8"/>
      <c r="Y14" s="8"/>
      <c r="Z14" s="8"/>
    </row>
    <row r="15" ht="15.0" customHeight="1">
      <c r="A15" s="58">
        <v>3.8002565E7</v>
      </c>
      <c r="B15" s="59" t="s">
        <v>87</v>
      </c>
      <c r="C15" s="59" t="s">
        <v>88</v>
      </c>
      <c r="D15" s="60">
        <v>19.0</v>
      </c>
      <c r="E15" s="59" t="str">
        <f t="shared" si="1"/>
        <v>Admis</v>
      </c>
      <c r="F15" s="8"/>
      <c r="G15" s="8"/>
      <c r="H15" s="8"/>
      <c r="I15" s="8"/>
      <c r="J15" s="8"/>
      <c r="K15" s="8"/>
      <c r="L15" s="8"/>
      <c r="M15" s="8"/>
      <c r="N15" s="8"/>
      <c r="O15" s="8"/>
      <c r="P15" s="8"/>
      <c r="Q15" s="8"/>
      <c r="R15" s="8"/>
      <c r="S15" s="8"/>
      <c r="T15" s="8"/>
      <c r="U15" s="8"/>
      <c r="V15" s="8"/>
      <c r="W15" s="8"/>
      <c r="X15" s="8"/>
      <c r="Y15" s="8"/>
      <c r="Z15" s="8"/>
    </row>
    <row r="16" ht="15.0" customHeight="1">
      <c r="A16" s="58">
        <v>3.8000329E7</v>
      </c>
      <c r="B16" s="59" t="s">
        <v>89</v>
      </c>
      <c r="C16" s="59" t="s">
        <v>90</v>
      </c>
      <c r="D16" s="60">
        <v>1.0</v>
      </c>
      <c r="E16" s="59" t="str">
        <f t="shared" si="1"/>
        <v>Ajourné</v>
      </c>
      <c r="F16" s="8"/>
      <c r="G16" s="8"/>
      <c r="H16" s="8"/>
      <c r="I16" s="8"/>
      <c r="J16" s="8"/>
      <c r="K16" s="8"/>
      <c r="L16" s="8"/>
      <c r="M16" s="8"/>
      <c r="N16" s="8"/>
      <c r="O16" s="8"/>
      <c r="P16" s="8"/>
      <c r="Q16" s="8"/>
      <c r="R16" s="8"/>
      <c r="S16" s="8"/>
      <c r="T16" s="8"/>
      <c r="U16" s="8"/>
      <c r="V16" s="8"/>
      <c r="W16" s="8"/>
      <c r="X16" s="8"/>
      <c r="Y16" s="8"/>
      <c r="Z16" s="8"/>
    </row>
    <row r="17" ht="15.0" customHeight="1">
      <c r="A17" s="58">
        <v>3.8005543E7</v>
      </c>
      <c r="B17" s="59" t="s">
        <v>91</v>
      </c>
      <c r="C17" s="59" t="s">
        <v>67</v>
      </c>
      <c r="D17" s="60">
        <v>18.0</v>
      </c>
      <c r="E17" s="59" t="str">
        <f t="shared" si="1"/>
        <v>Admis</v>
      </c>
      <c r="F17" s="8"/>
      <c r="G17" s="8"/>
      <c r="H17" s="8"/>
      <c r="I17" s="8"/>
      <c r="J17" s="8"/>
      <c r="K17" s="8"/>
      <c r="L17" s="8"/>
      <c r="M17" s="8"/>
      <c r="N17" s="8"/>
      <c r="O17" s="8"/>
      <c r="P17" s="8"/>
      <c r="Q17" s="8"/>
      <c r="R17" s="8"/>
      <c r="S17" s="8"/>
      <c r="T17" s="8"/>
      <c r="U17" s="8"/>
      <c r="V17" s="8"/>
      <c r="W17" s="8"/>
      <c r="X17" s="8"/>
      <c r="Y17" s="8"/>
      <c r="Z17" s="8"/>
    </row>
    <row r="18" ht="15.0" customHeight="1">
      <c r="A18" s="58">
        <v>3.8001038E7</v>
      </c>
      <c r="B18" s="59" t="s">
        <v>92</v>
      </c>
      <c r="C18" s="59" t="s">
        <v>93</v>
      </c>
      <c r="D18" s="60">
        <v>20.0</v>
      </c>
      <c r="E18" s="59" t="str">
        <f t="shared" si="1"/>
        <v>Admis</v>
      </c>
      <c r="F18" s="8"/>
      <c r="G18" s="8"/>
      <c r="H18" s="8"/>
      <c r="I18" s="8"/>
      <c r="J18" s="8"/>
      <c r="K18" s="8"/>
      <c r="L18" s="8"/>
      <c r="M18" s="8"/>
      <c r="N18" s="8"/>
      <c r="O18" s="8"/>
      <c r="P18" s="8"/>
      <c r="Q18" s="8"/>
      <c r="R18" s="8"/>
      <c r="S18" s="8"/>
      <c r="T18" s="8"/>
      <c r="U18" s="8"/>
      <c r="V18" s="8"/>
      <c r="W18" s="8"/>
      <c r="X18" s="8"/>
      <c r="Y18" s="8"/>
      <c r="Z18" s="8"/>
    </row>
    <row r="19" ht="15.0" customHeight="1">
      <c r="A19" s="58">
        <v>3.9001502E7</v>
      </c>
      <c r="B19" s="59" t="s">
        <v>94</v>
      </c>
      <c r="C19" s="59" t="s">
        <v>95</v>
      </c>
      <c r="D19" s="60">
        <v>19.0</v>
      </c>
      <c r="E19" s="59" t="str">
        <f t="shared" si="1"/>
        <v>Admis</v>
      </c>
      <c r="F19" s="8"/>
      <c r="G19" s="8"/>
      <c r="H19" s="8"/>
      <c r="I19" s="8"/>
      <c r="J19" s="8"/>
      <c r="K19" s="8"/>
      <c r="L19" s="8"/>
      <c r="M19" s="8"/>
      <c r="N19" s="8"/>
      <c r="O19" s="8"/>
      <c r="P19" s="8"/>
      <c r="Q19" s="8"/>
      <c r="R19" s="8"/>
      <c r="S19" s="8"/>
      <c r="T19" s="8"/>
      <c r="U19" s="8"/>
      <c r="V19" s="8"/>
      <c r="W19" s="8"/>
      <c r="X19" s="8"/>
      <c r="Y19" s="8"/>
      <c r="Z19" s="8"/>
    </row>
    <row r="20" ht="15.0" customHeight="1">
      <c r="A20" s="58">
        <v>3.8000031E7</v>
      </c>
      <c r="B20" s="59" t="s">
        <v>96</v>
      </c>
      <c r="C20" s="59" t="s">
        <v>97</v>
      </c>
      <c r="D20" s="60">
        <v>8.0</v>
      </c>
      <c r="E20" s="59" t="str">
        <f t="shared" si="1"/>
        <v>Ajourné</v>
      </c>
      <c r="F20" s="8"/>
      <c r="G20" s="8"/>
      <c r="H20" s="8"/>
      <c r="I20" s="8"/>
      <c r="J20" s="8"/>
      <c r="K20" s="8"/>
      <c r="L20" s="8"/>
      <c r="M20" s="8"/>
      <c r="N20" s="8"/>
      <c r="O20" s="8"/>
      <c r="P20" s="8"/>
      <c r="Q20" s="8"/>
      <c r="R20" s="8"/>
      <c r="S20" s="8"/>
      <c r="T20" s="8"/>
      <c r="U20" s="8"/>
      <c r="V20" s="8"/>
      <c r="W20" s="8"/>
      <c r="X20" s="8"/>
      <c r="Y20" s="8"/>
      <c r="Z20" s="8"/>
    </row>
    <row r="21" ht="15.0" customHeight="1">
      <c r="A21" s="58">
        <v>3.6006577E7</v>
      </c>
      <c r="B21" s="59" t="s">
        <v>98</v>
      </c>
      <c r="C21" s="59" t="s">
        <v>99</v>
      </c>
      <c r="D21" s="60">
        <v>19.0</v>
      </c>
      <c r="E21" s="59" t="str">
        <f t="shared" si="1"/>
        <v>Admis</v>
      </c>
      <c r="F21" s="8"/>
      <c r="G21" s="8"/>
      <c r="H21" s="8"/>
      <c r="I21" s="8"/>
      <c r="J21" s="8"/>
      <c r="K21" s="8"/>
      <c r="L21" s="8"/>
      <c r="M21" s="8"/>
      <c r="N21" s="8"/>
      <c r="O21" s="8"/>
      <c r="P21" s="8"/>
      <c r="Q21" s="8"/>
      <c r="R21" s="8"/>
      <c r="S21" s="8"/>
      <c r="T21" s="8"/>
      <c r="U21" s="8"/>
      <c r="V21" s="8"/>
      <c r="W21" s="8"/>
      <c r="X21" s="8"/>
      <c r="Y21" s="8"/>
      <c r="Z21" s="8"/>
    </row>
    <row r="22" ht="15.0" customHeight="1">
      <c r="A22" s="58">
        <v>3.8003927E7</v>
      </c>
      <c r="B22" s="59" t="s">
        <v>100</v>
      </c>
      <c r="C22" s="59" t="s">
        <v>101</v>
      </c>
      <c r="D22" s="60">
        <v>8.0</v>
      </c>
      <c r="E22" s="59" t="str">
        <f t="shared" si="1"/>
        <v>Ajourné</v>
      </c>
      <c r="F22" s="8"/>
      <c r="G22" s="8"/>
      <c r="H22" s="8"/>
      <c r="I22" s="8"/>
      <c r="J22" s="8"/>
      <c r="K22" s="8"/>
      <c r="L22" s="8"/>
      <c r="M22" s="8"/>
      <c r="N22" s="8"/>
      <c r="O22" s="8"/>
      <c r="P22" s="8"/>
      <c r="Q22" s="8"/>
      <c r="R22" s="8"/>
      <c r="S22" s="8"/>
      <c r="T22" s="8"/>
      <c r="U22" s="8"/>
      <c r="V22" s="8"/>
      <c r="W22" s="8"/>
      <c r="X22" s="8"/>
      <c r="Y22" s="8"/>
      <c r="Z22" s="8"/>
    </row>
    <row r="23" ht="15.0" customHeight="1">
      <c r="A23" s="58">
        <v>4.0007875E7</v>
      </c>
      <c r="B23" s="59" t="s">
        <v>102</v>
      </c>
      <c r="C23" s="59" t="s">
        <v>103</v>
      </c>
      <c r="D23" s="60">
        <v>10.0</v>
      </c>
      <c r="E23" s="59" t="str">
        <f t="shared" si="1"/>
        <v>Admis</v>
      </c>
      <c r="F23" s="8"/>
      <c r="G23" s="8"/>
      <c r="H23" s="8"/>
      <c r="I23" s="8"/>
      <c r="J23" s="8"/>
      <c r="K23" s="8"/>
      <c r="L23" s="8"/>
      <c r="M23" s="8"/>
      <c r="N23" s="8"/>
      <c r="O23" s="8"/>
      <c r="P23" s="8"/>
      <c r="Q23" s="8"/>
      <c r="R23" s="8"/>
      <c r="S23" s="8"/>
      <c r="T23" s="8"/>
      <c r="U23" s="8"/>
      <c r="V23" s="8"/>
      <c r="W23" s="8"/>
      <c r="X23" s="8"/>
      <c r="Y23" s="8"/>
      <c r="Z23" s="8"/>
    </row>
    <row r="24" ht="15.0" customHeight="1">
      <c r="A24" s="58">
        <v>3.9000732E7</v>
      </c>
      <c r="B24" s="59" t="s">
        <v>104</v>
      </c>
      <c r="C24" s="59" t="s">
        <v>105</v>
      </c>
      <c r="D24" s="60">
        <v>5.0</v>
      </c>
      <c r="E24" s="59" t="str">
        <f t="shared" si="1"/>
        <v>Ajourné</v>
      </c>
      <c r="F24" s="8"/>
      <c r="G24" s="8"/>
      <c r="H24" s="8"/>
      <c r="I24" s="8"/>
      <c r="J24" s="8"/>
      <c r="K24" s="8"/>
      <c r="L24" s="8"/>
      <c r="M24" s="8"/>
      <c r="N24" s="8"/>
      <c r="O24" s="8"/>
      <c r="P24" s="8"/>
      <c r="Q24" s="8"/>
      <c r="R24" s="8"/>
      <c r="S24" s="8"/>
      <c r="T24" s="8"/>
      <c r="U24" s="8"/>
      <c r="V24" s="8"/>
      <c r="W24" s="8"/>
      <c r="X24" s="8"/>
      <c r="Y24" s="8"/>
      <c r="Z24" s="8"/>
    </row>
    <row r="25" ht="15.0" customHeight="1">
      <c r="A25" s="58">
        <v>3.6001935E7</v>
      </c>
      <c r="B25" s="59" t="s">
        <v>106</v>
      </c>
      <c r="C25" s="59" t="s">
        <v>107</v>
      </c>
      <c r="D25" s="60">
        <v>15.0</v>
      </c>
      <c r="E25" s="59" t="str">
        <f t="shared" si="1"/>
        <v>Admis</v>
      </c>
      <c r="F25" s="8"/>
      <c r="G25" s="8"/>
      <c r="H25" s="8"/>
      <c r="I25" s="8"/>
      <c r="J25" s="8"/>
      <c r="K25" s="8"/>
      <c r="L25" s="8"/>
      <c r="M25" s="8"/>
      <c r="N25" s="8"/>
      <c r="O25" s="8"/>
      <c r="P25" s="8"/>
      <c r="Q25" s="8"/>
      <c r="R25" s="8"/>
      <c r="S25" s="8"/>
      <c r="T25" s="8"/>
      <c r="U25" s="8"/>
      <c r="V25" s="8"/>
      <c r="W25" s="8"/>
      <c r="X25" s="8"/>
      <c r="Y25" s="8"/>
      <c r="Z25" s="8"/>
    </row>
    <row r="26" ht="15.0" customHeight="1">
      <c r="A26" s="58">
        <v>3.6007568E7</v>
      </c>
      <c r="B26" s="59" t="s">
        <v>108</v>
      </c>
      <c r="C26" s="59" t="s">
        <v>109</v>
      </c>
      <c r="D26" s="60">
        <v>2.0</v>
      </c>
      <c r="E26" s="59" t="str">
        <f t="shared" si="1"/>
        <v>Ajourné</v>
      </c>
      <c r="F26" s="8"/>
      <c r="G26" s="8"/>
      <c r="H26" s="8"/>
      <c r="I26" s="8"/>
      <c r="J26" s="8"/>
      <c r="K26" s="8"/>
      <c r="L26" s="8"/>
      <c r="M26" s="8"/>
      <c r="N26" s="8"/>
      <c r="O26" s="8"/>
      <c r="P26" s="8"/>
      <c r="Q26" s="8"/>
      <c r="R26" s="8"/>
      <c r="S26" s="8"/>
      <c r="T26" s="8"/>
      <c r="U26" s="8"/>
      <c r="V26" s="8"/>
      <c r="W26" s="8"/>
      <c r="X26" s="8"/>
      <c r="Y26" s="8"/>
      <c r="Z26" s="8"/>
    </row>
    <row r="27" ht="15.0" customHeight="1">
      <c r="A27" s="58">
        <v>4.000487E7</v>
      </c>
      <c r="B27" s="59" t="s">
        <v>110</v>
      </c>
      <c r="C27" s="59" t="s">
        <v>111</v>
      </c>
      <c r="D27" s="60">
        <v>16.0</v>
      </c>
      <c r="E27" s="59" t="str">
        <f t="shared" si="1"/>
        <v>Admis</v>
      </c>
      <c r="F27" s="8"/>
      <c r="G27" s="8"/>
      <c r="H27" s="8"/>
      <c r="I27" s="8"/>
      <c r="J27" s="8"/>
      <c r="K27" s="8"/>
      <c r="L27" s="8"/>
      <c r="M27" s="8"/>
      <c r="N27" s="8"/>
      <c r="O27" s="8"/>
      <c r="P27" s="8"/>
      <c r="Q27" s="8"/>
      <c r="R27" s="8"/>
      <c r="S27" s="8"/>
      <c r="T27" s="8"/>
      <c r="U27" s="8"/>
      <c r="V27" s="8"/>
      <c r="W27" s="8"/>
      <c r="X27" s="8"/>
      <c r="Y27" s="8"/>
      <c r="Z27" s="8"/>
    </row>
    <row r="28" ht="15.0" customHeight="1">
      <c r="A28" s="58">
        <v>3.6005656E7</v>
      </c>
      <c r="B28" s="59" t="s">
        <v>112</v>
      </c>
      <c r="C28" s="59" t="s">
        <v>113</v>
      </c>
      <c r="D28" s="60">
        <v>18.0</v>
      </c>
      <c r="E28" s="59" t="str">
        <f t="shared" si="1"/>
        <v>Admis</v>
      </c>
      <c r="F28" s="8"/>
      <c r="G28" s="8"/>
      <c r="H28" s="8"/>
      <c r="I28" s="8"/>
      <c r="J28" s="8"/>
      <c r="K28" s="8"/>
      <c r="L28" s="8"/>
      <c r="M28" s="8"/>
      <c r="N28" s="8"/>
      <c r="O28" s="8"/>
      <c r="P28" s="8"/>
      <c r="Q28" s="8"/>
      <c r="R28" s="8"/>
      <c r="S28" s="8"/>
      <c r="T28" s="8"/>
      <c r="U28" s="8"/>
      <c r="V28" s="8"/>
      <c r="W28" s="8"/>
      <c r="X28" s="8"/>
      <c r="Y28" s="8"/>
      <c r="Z28" s="8"/>
    </row>
    <row r="29" ht="15.0" customHeight="1">
      <c r="A29" s="58">
        <v>3.9003031E7</v>
      </c>
      <c r="B29" s="59" t="s">
        <v>114</v>
      </c>
      <c r="C29" s="59" t="s">
        <v>115</v>
      </c>
      <c r="D29" s="60">
        <v>17.0</v>
      </c>
      <c r="E29" s="59" t="str">
        <f t="shared" si="1"/>
        <v>Admis</v>
      </c>
      <c r="F29" s="8"/>
      <c r="G29" s="8"/>
      <c r="H29" s="8"/>
      <c r="I29" s="8"/>
      <c r="J29" s="8"/>
      <c r="K29" s="8"/>
      <c r="L29" s="8"/>
      <c r="M29" s="8"/>
      <c r="N29" s="8"/>
      <c r="O29" s="8"/>
      <c r="P29" s="8"/>
      <c r="Q29" s="8"/>
      <c r="R29" s="8"/>
      <c r="S29" s="8"/>
      <c r="T29" s="8"/>
      <c r="U29" s="8"/>
      <c r="V29" s="8"/>
      <c r="W29" s="8"/>
      <c r="X29" s="8"/>
      <c r="Y29" s="8"/>
      <c r="Z29" s="8"/>
    </row>
    <row r="30" ht="15.0" customHeight="1">
      <c r="A30" s="58">
        <v>4.0007927E7</v>
      </c>
      <c r="B30" s="59" t="s">
        <v>116</v>
      </c>
      <c r="C30" s="59" t="s">
        <v>117</v>
      </c>
      <c r="D30" s="60">
        <v>6.0</v>
      </c>
      <c r="E30" s="59" t="str">
        <f t="shared" si="1"/>
        <v>Ajourné</v>
      </c>
      <c r="F30" s="8"/>
      <c r="G30" s="8"/>
      <c r="H30" s="8"/>
      <c r="I30" s="8"/>
      <c r="J30" s="8"/>
      <c r="K30" s="8"/>
      <c r="L30" s="8"/>
      <c r="M30" s="8"/>
      <c r="N30" s="8"/>
      <c r="O30" s="8"/>
      <c r="P30" s="8"/>
      <c r="Q30" s="8"/>
      <c r="R30" s="8"/>
      <c r="S30" s="8"/>
      <c r="T30" s="8"/>
      <c r="U30" s="8"/>
      <c r="V30" s="8"/>
      <c r="W30" s="8"/>
      <c r="X30" s="8"/>
      <c r="Y30" s="8"/>
      <c r="Z30" s="8"/>
    </row>
    <row r="31" ht="15.0" customHeight="1">
      <c r="A31" s="58">
        <v>3.8006258E7</v>
      </c>
      <c r="B31" s="59" t="s">
        <v>118</v>
      </c>
      <c r="C31" s="59" t="s">
        <v>119</v>
      </c>
      <c r="D31" s="60">
        <v>3.0</v>
      </c>
      <c r="E31" s="59" t="str">
        <f t="shared" si="1"/>
        <v>Ajourné</v>
      </c>
      <c r="F31" s="8"/>
      <c r="G31" s="8"/>
      <c r="H31" s="8"/>
      <c r="I31" s="8"/>
      <c r="J31" s="8"/>
      <c r="K31" s="8"/>
      <c r="L31" s="8"/>
      <c r="M31" s="8"/>
      <c r="N31" s="8"/>
      <c r="O31" s="8"/>
      <c r="P31" s="8"/>
      <c r="Q31" s="8"/>
      <c r="R31" s="8"/>
      <c r="S31" s="8"/>
      <c r="T31" s="8"/>
      <c r="U31" s="8"/>
      <c r="V31" s="8"/>
      <c r="W31" s="8"/>
      <c r="X31" s="8"/>
      <c r="Y31" s="8"/>
      <c r="Z31" s="8"/>
    </row>
    <row r="32" ht="15.0" customHeight="1">
      <c r="A32" s="58">
        <v>4.0007376E7</v>
      </c>
      <c r="B32" s="59" t="s">
        <v>120</v>
      </c>
      <c r="C32" s="59" t="s">
        <v>121</v>
      </c>
      <c r="D32" s="60">
        <v>12.0</v>
      </c>
      <c r="E32" s="59" t="str">
        <f t="shared" si="1"/>
        <v>Admis</v>
      </c>
      <c r="F32" s="8"/>
      <c r="G32" s="8"/>
      <c r="H32" s="8"/>
      <c r="I32" s="8"/>
      <c r="J32" s="8"/>
      <c r="K32" s="8"/>
      <c r="L32" s="8"/>
      <c r="M32" s="8"/>
      <c r="N32" s="8"/>
      <c r="O32" s="8"/>
      <c r="P32" s="8"/>
      <c r="Q32" s="8"/>
      <c r="R32" s="8"/>
      <c r="S32" s="8"/>
      <c r="T32" s="8"/>
      <c r="U32" s="8"/>
      <c r="V32" s="8"/>
      <c r="W32" s="8"/>
      <c r="X32" s="8"/>
      <c r="Y32" s="8"/>
      <c r="Z32" s="8"/>
    </row>
    <row r="33" ht="15.0" customHeight="1">
      <c r="A33" s="58">
        <v>4.0007604E7</v>
      </c>
      <c r="B33" s="59" t="s">
        <v>122</v>
      </c>
      <c r="C33" s="59" t="s">
        <v>123</v>
      </c>
      <c r="D33" s="60">
        <v>3.0</v>
      </c>
      <c r="E33" s="59" t="str">
        <f t="shared" si="1"/>
        <v>Ajourné</v>
      </c>
      <c r="F33" s="8"/>
      <c r="G33" s="8"/>
      <c r="H33" s="8"/>
      <c r="I33" s="8"/>
      <c r="J33" s="8"/>
      <c r="K33" s="8"/>
      <c r="L33" s="8"/>
      <c r="M33" s="8"/>
      <c r="N33" s="8"/>
      <c r="O33" s="8"/>
      <c r="P33" s="8"/>
      <c r="Q33" s="8"/>
      <c r="R33" s="8"/>
      <c r="S33" s="8"/>
      <c r="T33" s="8"/>
      <c r="U33" s="8"/>
      <c r="V33" s="8"/>
      <c r="W33" s="8"/>
      <c r="X33" s="8"/>
      <c r="Y33" s="8"/>
      <c r="Z33" s="8"/>
    </row>
    <row r="34" ht="15.0" customHeight="1">
      <c r="A34" s="58">
        <v>4.0008694E7</v>
      </c>
      <c r="B34" s="59" t="s">
        <v>124</v>
      </c>
      <c r="C34" s="59" t="s">
        <v>125</v>
      </c>
      <c r="D34" s="60">
        <v>14.0</v>
      </c>
      <c r="E34" s="59" t="str">
        <f t="shared" si="1"/>
        <v>Admis</v>
      </c>
      <c r="F34" s="8"/>
      <c r="G34" s="8"/>
      <c r="H34" s="8"/>
      <c r="I34" s="8"/>
      <c r="J34" s="8"/>
      <c r="K34" s="8"/>
      <c r="L34" s="8"/>
      <c r="M34" s="8"/>
      <c r="N34" s="8"/>
      <c r="O34" s="8"/>
      <c r="P34" s="8"/>
      <c r="Q34" s="8"/>
      <c r="R34" s="8"/>
      <c r="S34" s="8"/>
      <c r="T34" s="8"/>
      <c r="U34" s="8"/>
      <c r="V34" s="8"/>
      <c r="W34" s="8"/>
      <c r="X34" s="8"/>
      <c r="Y34" s="8"/>
      <c r="Z34" s="8"/>
    </row>
    <row r="35" ht="15.0" customHeight="1">
      <c r="A35" s="58">
        <v>3.7006111E7</v>
      </c>
      <c r="B35" s="59" t="s">
        <v>126</v>
      </c>
      <c r="C35" s="59" t="s">
        <v>127</v>
      </c>
      <c r="D35" s="60">
        <v>12.0</v>
      </c>
      <c r="E35" s="59" t="str">
        <f t="shared" si="1"/>
        <v>Admis</v>
      </c>
      <c r="F35" s="8"/>
      <c r="G35" s="8"/>
      <c r="H35" s="8"/>
      <c r="I35" s="8"/>
      <c r="J35" s="8"/>
      <c r="K35" s="8"/>
      <c r="L35" s="8"/>
      <c r="M35" s="8"/>
      <c r="N35" s="8"/>
      <c r="O35" s="8"/>
      <c r="P35" s="8"/>
      <c r="Q35" s="8"/>
      <c r="R35" s="8"/>
      <c r="S35" s="8"/>
      <c r="T35" s="8"/>
      <c r="U35" s="8"/>
      <c r="V35" s="8"/>
      <c r="W35" s="8"/>
      <c r="X35" s="8"/>
      <c r="Y35" s="8"/>
      <c r="Z35" s="8"/>
    </row>
    <row r="36" ht="15.0" customHeight="1">
      <c r="A36" s="58">
        <v>3.9000382E7</v>
      </c>
      <c r="B36" s="59" t="s">
        <v>128</v>
      </c>
      <c r="C36" s="59" t="s">
        <v>129</v>
      </c>
      <c r="D36" s="60">
        <v>1.0</v>
      </c>
      <c r="E36" s="59" t="str">
        <f t="shared" si="1"/>
        <v>Ajourné</v>
      </c>
      <c r="F36" s="8"/>
      <c r="G36" s="8"/>
      <c r="H36" s="8"/>
      <c r="I36" s="8"/>
      <c r="J36" s="8"/>
      <c r="K36" s="8"/>
      <c r="L36" s="8"/>
      <c r="M36" s="8"/>
      <c r="N36" s="8"/>
      <c r="O36" s="8"/>
      <c r="P36" s="8"/>
      <c r="Q36" s="8"/>
      <c r="R36" s="8"/>
      <c r="S36" s="8"/>
      <c r="T36" s="8"/>
      <c r="U36" s="8"/>
      <c r="V36" s="8"/>
      <c r="W36" s="8"/>
      <c r="X36" s="8"/>
      <c r="Y36" s="8"/>
      <c r="Z36" s="8"/>
    </row>
    <row r="37" ht="15.0" customHeight="1">
      <c r="A37" s="58">
        <v>3.1003597E7</v>
      </c>
      <c r="B37" s="59" t="s">
        <v>130</v>
      </c>
      <c r="C37" s="59" t="s">
        <v>131</v>
      </c>
      <c r="D37" s="60">
        <v>8.0</v>
      </c>
      <c r="E37" s="59" t="str">
        <f t="shared" si="1"/>
        <v>Ajourné</v>
      </c>
      <c r="F37" s="8"/>
      <c r="G37" s="8"/>
      <c r="H37" s="8"/>
      <c r="I37" s="8"/>
      <c r="J37" s="8"/>
      <c r="K37" s="8"/>
      <c r="L37" s="8"/>
      <c r="M37" s="8"/>
      <c r="N37" s="8"/>
      <c r="O37" s="8"/>
      <c r="P37" s="8"/>
      <c r="Q37" s="8"/>
      <c r="R37" s="8"/>
      <c r="S37" s="8"/>
      <c r="T37" s="8"/>
      <c r="U37" s="8"/>
      <c r="V37" s="8"/>
      <c r="W37" s="8"/>
      <c r="X37" s="8"/>
      <c r="Y37" s="8"/>
      <c r="Z37" s="8"/>
    </row>
    <row r="38" ht="15.0" customHeight="1">
      <c r="A38" s="58">
        <v>4.000768E7</v>
      </c>
      <c r="B38" s="59" t="s">
        <v>132</v>
      </c>
      <c r="C38" s="59" t="s">
        <v>133</v>
      </c>
      <c r="D38" s="60">
        <v>20.0</v>
      </c>
      <c r="E38" s="59" t="str">
        <f t="shared" si="1"/>
        <v>Admis</v>
      </c>
      <c r="F38" s="8"/>
      <c r="G38" s="8"/>
      <c r="H38" s="8"/>
      <c r="I38" s="8"/>
      <c r="J38" s="8"/>
      <c r="K38" s="8"/>
      <c r="L38" s="8"/>
      <c r="M38" s="8"/>
      <c r="N38" s="8"/>
      <c r="O38" s="8"/>
      <c r="P38" s="8"/>
      <c r="Q38" s="8"/>
      <c r="R38" s="8"/>
      <c r="S38" s="8"/>
      <c r="T38" s="8"/>
      <c r="U38" s="8"/>
      <c r="V38" s="8"/>
      <c r="W38" s="8"/>
      <c r="X38" s="8"/>
      <c r="Y38" s="8"/>
      <c r="Z38" s="8"/>
    </row>
    <row r="39" ht="15.0" customHeight="1">
      <c r="A39" s="58">
        <v>4.0007136E7</v>
      </c>
      <c r="B39" s="59" t="s">
        <v>134</v>
      </c>
      <c r="C39" s="59" t="s">
        <v>135</v>
      </c>
      <c r="D39" s="60">
        <v>9.0</v>
      </c>
      <c r="E39" s="59" t="str">
        <f t="shared" si="1"/>
        <v>Ajourné</v>
      </c>
      <c r="F39" s="8"/>
      <c r="G39" s="8"/>
      <c r="H39" s="8"/>
      <c r="I39" s="8"/>
      <c r="J39" s="8"/>
      <c r="K39" s="8"/>
      <c r="L39" s="8"/>
      <c r="M39" s="8"/>
      <c r="N39" s="8"/>
      <c r="O39" s="8"/>
      <c r="P39" s="8"/>
      <c r="Q39" s="8"/>
      <c r="R39" s="8"/>
      <c r="S39" s="8"/>
      <c r="T39" s="8"/>
      <c r="U39" s="8"/>
      <c r="V39" s="8"/>
      <c r="W39" s="8"/>
      <c r="X39" s="8"/>
      <c r="Y39" s="8"/>
      <c r="Z39" s="8"/>
    </row>
    <row r="40" ht="15.0" customHeight="1">
      <c r="A40" s="58">
        <v>3.9002636E7</v>
      </c>
      <c r="B40" s="59" t="s">
        <v>136</v>
      </c>
      <c r="C40" s="59" t="s">
        <v>137</v>
      </c>
      <c r="D40" s="60">
        <v>12.0</v>
      </c>
      <c r="E40" s="59" t="str">
        <f t="shared" si="1"/>
        <v>Admis</v>
      </c>
      <c r="F40" s="8"/>
      <c r="G40" s="8"/>
      <c r="H40" s="8"/>
      <c r="I40" s="8"/>
      <c r="J40" s="8"/>
      <c r="K40" s="8"/>
      <c r="L40" s="8"/>
      <c r="M40" s="8"/>
      <c r="N40" s="8"/>
      <c r="O40" s="8"/>
      <c r="P40" s="8"/>
      <c r="Q40" s="8"/>
      <c r="R40" s="8"/>
      <c r="S40" s="8"/>
      <c r="T40" s="8"/>
      <c r="U40" s="8"/>
      <c r="V40" s="8"/>
      <c r="W40" s="8"/>
      <c r="X40" s="8"/>
      <c r="Y40" s="8"/>
      <c r="Z40" s="8"/>
    </row>
    <row r="41" ht="15.0" customHeight="1">
      <c r="A41" s="58">
        <v>3.800508E7</v>
      </c>
      <c r="B41" s="59" t="s">
        <v>138</v>
      </c>
      <c r="C41" s="59" t="s">
        <v>139</v>
      </c>
      <c r="D41" s="60">
        <v>18.0</v>
      </c>
      <c r="E41" s="59" t="str">
        <f t="shared" si="1"/>
        <v>Admis</v>
      </c>
      <c r="F41" s="8"/>
      <c r="G41" s="8"/>
      <c r="H41" s="8"/>
      <c r="I41" s="8"/>
      <c r="J41" s="8"/>
      <c r="K41" s="8"/>
      <c r="L41" s="8"/>
      <c r="M41" s="8"/>
      <c r="N41" s="8"/>
      <c r="O41" s="8"/>
      <c r="P41" s="8"/>
      <c r="Q41" s="8"/>
      <c r="R41" s="8"/>
      <c r="S41" s="8"/>
      <c r="T41" s="8"/>
      <c r="U41" s="8"/>
      <c r="V41" s="8"/>
      <c r="W41" s="8"/>
      <c r="X41" s="8"/>
      <c r="Y41" s="8"/>
      <c r="Z41" s="8"/>
    </row>
    <row r="42" ht="15.0" customHeight="1">
      <c r="A42" s="58">
        <v>3.8005224E7</v>
      </c>
      <c r="B42" s="59" t="s">
        <v>140</v>
      </c>
      <c r="C42" s="59" t="s">
        <v>141</v>
      </c>
      <c r="D42" s="60">
        <v>20.0</v>
      </c>
      <c r="E42" s="59" t="str">
        <f t="shared" si="1"/>
        <v>Admis</v>
      </c>
      <c r="F42" s="8"/>
      <c r="G42" s="8"/>
      <c r="H42" s="8"/>
      <c r="I42" s="8"/>
      <c r="J42" s="8"/>
      <c r="K42" s="8"/>
      <c r="L42" s="8"/>
      <c r="M42" s="8"/>
      <c r="N42" s="8"/>
      <c r="O42" s="8"/>
      <c r="P42" s="8"/>
      <c r="Q42" s="8"/>
      <c r="R42" s="8"/>
      <c r="S42" s="8"/>
      <c r="T42" s="8"/>
      <c r="U42" s="8"/>
      <c r="V42" s="8"/>
      <c r="W42" s="8"/>
      <c r="X42" s="8"/>
      <c r="Y42" s="8"/>
      <c r="Z42" s="8"/>
    </row>
    <row r="43" ht="15.0" customHeight="1">
      <c r="A43" s="58">
        <v>3.7004255E7</v>
      </c>
      <c r="B43" s="59" t="s">
        <v>142</v>
      </c>
      <c r="C43" s="59" t="s">
        <v>143</v>
      </c>
      <c r="D43" s="60">
        <v>19.0</v>
      </c>
      <c r="E43" s="59" t="str">
        <f t="shared" si="1"/>
        <v>Admis</v>
      </c>
      <c r="F43" s="8"/>
      <c r="G43" s="8"/>
      <c r="H43" s="8"/>
      <c r="I43" s="8"/>
      <c r="J43" s="8"/>
      <c r="K43" s="8"/>
      <c r="L43" s="8"/>
      <c r="M43" s="8"/>
      <c r="N43" s="8"/>
      <c r="O43" s="8"/>
      <c r="P43" s="8"/>
      <c r="Q43" s="8"/>
      <c r="R43" s="8"/>
      <c r="S43" s="8"/>
      <c r="T43" s="8"/>
      <c r="U43" s="8"/>
      <c r="V43" s="8"/>
      <c r="W43" s="8"/>
      <c r="X43" s="8"/>
      <c r="Y43" s="8"/>
      <c r="Z43" s="8"/>
    </row>
    <row r="44" ht="15.0" customHeight="1">
      <c r="A44" s="58">
        <v>3.7002386E7</v>
      </c>
      <c r="B44" s="59" t="s">
        <v>144</v>
      </c>
      <c r="C44" s="59" t="s">
        <v>145</v>
      </c>
      <c r="D44" s="60">
        <v>9.0</v>
      </c>
      <c r="E44" s="59" t="str">
        <f t="shared" si="1"/>
        <v>Ajourné</v>
      </c>
      <c r="F44" s="8"/>
      <c r="G44" s="8"/>
      <c r="H44" s="8"/>
      <c r="I44" s="8"/>
      <c r="J44" s="8"/>
      <c r="K44" s="8"/>
      <c r="L44" s="8"/>
      <c r="M44" s="8"/>
      <c r="N44" s="8"/>
      <c r="O44" s="8"/>
      <c r="P44" s="8"/>
      <c r="Q44" s="8"/>
      <c r="R44" s="8"/>
      <c r="S44" s="8"/>
      <c r="T44" s="8"/>
      <c r="U44" s="8"/>
      <c r="V44" s="8"/>
      <c r="W44" s="8"/>
      <c r="X44" s="8"/>
      <c r="Y44" s="8"/>
      <c r="Z44" s="8"/>
    </row>
    <row r="45" ht="15.0" customHeight="1">
      <c r="A45" s="58">
        <v>3.8001216E7</v>
      </c>
      <c r="B45" s="59" t="s">
        <v>146</v>
      </c>
      <c r="C45" s="59" t="s">
        <v>147</v>
      </c>
      <c r="D45" s="60">
        <v>2.0</v>
      </c>
      <c r="E45" s="59" t="str">
        <f t="shared" si="1"/>
        <v>Ajourné</v>
      </c>
      <c r="F45" s="8"/>
      <c r="G45" s="8"/>
      <c r="H45" s="8"/>
      <c r="I45" s="8"/>
      <c r="J45" s="8"/>
      <c r="K45" s="8"/>
      <c r="L45" s="8"/>
      <c r="M45" s="8"/>
      <c r="N45" s="8"/>
      <c r="O45" s="8"/>
      <c r="P45" s="8"/>
      <c r="Q45" s="8"/>
      <c r="R45" s="8"/>
      <c r="S45" s="8"/>
      <c r="T45" s="8"/>
      <c r="U45" s="8"/>
      <c r="V45" s="8"/>
      <c r="W45" s="8"/>
      <c r="X45" s="8"/>
      <c r="Y45" s="8"/>
      <c r="Z45" s="8"/>
    </row>
    <row r="46" ht="15.0" customHeight="1">
      <c r="A46" s="58">
        <v>4.0007723E7</v>
      </c>
      <c r="B46" s="59" t="s">
        <v>148</v>
      </c>
      <c r="C46" s="59" t="s">
        <v>149</v>
      </c>
      <c r="D46" s="60">
        <v>12.0</v>
      </c>
      <c r="E46" s="59" t="str">
        <f t="shared" si="1"/>
        <v>Admis</v>
      </c>
      <c r="F46" s="8"/>
      <c r="G46" s="8"/>
      <c r="H46" s="8"/>
      <c r="I46" s="8"/>
      <c r="J46" s="8"/>
      <c r="K46" s="8"/>
      <c r="L46" s="8"/>
      <c r="M46" s="8"/>
      <c r="N46" s="8"/>
      <c r="O46" s="8"/>
      <c r="P46" s="8"/>
      <c r="Q46" s="8"/>
      <c r="R46" s="8"/>
      <c r="S46" s="8"/>
      <c r="T46" s="8"/>
      <c r="U46" s="8"/>
      <c r="V46" s="8"/>
      <c r="W46" s="8"/>
      <c r="X46" s="8"/>
      <c r="Y46" s="8"/>
      <c r="Z46" s="8"/>
    </row>
    <row r="47" ht="15.0" customHeight="1">
      <c r="A47" s="58">
        <v>4.0009194E7</v>
      </c>
      <c r="B47" s="59" t="s">
        <v>83</v>
      </c>
      <c r="C47" s="59" t="s">
        <v>150</v>
      </c>
      <c r="D47" s="60">
        <v>18.0</v>
      </c>
      <c r="E47" s="59" t="str">
        <f t="shared" si="1"/>
        <v>Admis</v>
      </c>
      <c r="F47" s="8"/>
      <c r="G47" s="8"/>
      <c r="H47" s="8"/>
      <c r="I47" s="8"/>
      <c r="J47" s="8"/>
      <c r="K47" s="8"/>
      <c r="L47" s="8"/>
      <c r="M47" s="8"/>
      <c r="N47" s="8"/>
      <c r="O47" s="8"/>
      <c r="P47" s="8"/>
      <c r="Q47" s="8"/>
      <c r="R47" s="8"/>
      <c r="S47" s="8"/>
      <c r="T47" s="8"/>
      <c r="U47" s="8"/>
      <c r="V47" s="8"/>
      <c r="W47" s="8"/>
      <c r="X47" s="8"/>
      <c r="Y47" s="8"/>
      <c r="Z47" s="8"/>
    </row>
    <row r="48" ht="15.0" customHeight="1">
      <c r="A48" s="58">
        <v>3.8000058E7</v>
      </c>
      <c r="B48" s="59" t="s">
        <v>151</v>
      </c>
      <c r="C48" s="59" t="s">
        <v>152</v>
      </c>
      <c r="D48" s="60">
        <v>6.0</v>
      </c>
      <c r="E48" s="59" t="str">
        <f t="shared" si="1"/>
        <v>Ajourné</v>
      </c>
      <c r="F48" s="8"/>
      <c r="G48" s="8"/>
      <c r="H48" s="8"/>
      <c r="I48" s="8"/>
      <c r="J48" s="8"/>
      <c r="K48" s="8"/>
      <c r="L48" s="8"/>
      <c r="M48" s="8"/>
      <c r="N48" s="8"/>
      <c r="O48" s="8"/>
      <c r="P48" s="8"/>
      <c r="Q48" s="8"/>
      <c r="R48" s="8"/>
      <c r="S48" s="8"/>
      <c r="T48" s="8"/>
      <c r="U48" s="8"/>
      <c r="V48" s="8"/>
      <c r="W48" s="8"/>
      <c r="X48" s="8"/>
      <c r="Y48" s="8"/>
      <c r="Z48" s="8"/>
    </row>
    <row r="49" ht="15.0" customHeight="1">
      <c r="A49" s="58">
        <v>3.8001527E7</v>
      </c>
      <c r="B49" s="59" t="s">
        <v>153</v>
      </c>
      <c r="C49" s="59" t="s">
        <v>111</v>
      </c>
      <c r="D49" s="60">
        <v>11.0</v>
      </c>
      <c r="E49" s="59" t="str">
        <f t="shared" si="1"/>
        <v>Admis</v>
      </c>
      <c r="F49" s="8"/>
      <c r="G49" s="8"/>
      <c r="H49" s="8"/>
      <c r="I49" s="8"/>
      <c r="J49" s="8"/>
      <c r="K49" s="8"/>
      <c r="L49" s="8"/>
      <c r="M49" s="8"/>
      <c r="N49" s="8"/>
      <c r="O49" s="8"/>
      <c r="P49" s="8"/>
      <c r="Q49" s="8"/>
      <c r="R49" s="8"/>
      <c r="S49" s="8"/>
      <c r="T49" s="8"/>
      <c r="U49" s="8"/>
      <c r="V49" s="8"/>
      <c r="W49" s="8"/>
      <c r="X49" s="8"/>
      <c r="Y49" s="8"/>
      <c r="Z49" s="8"/>
    </row>
    <row r="50" ht="15.0" customHeight="1">
      <c r="A50" s="58">
        <v>3.6004965E7</v>
      </c>
      <c r="B50" s="59" t="s">
        <v>154</v>
      </c>
      <c r="C50" s="59" t="s">
        <v>155</v>
      </c>
      <c r="D50" s="60">
        <v>6.0</v>
      </c>
      <c r="E50" s="59" t="str">
        <f t="shared" si="1"/>
        <v>Ajourné</v>
      </c>
      <c r="F50" s="8"/>
      <c r="G50" s="8"/>
      <c r="H50" s="8"/>
      <c r="I50" s="8"/>
      <c r="J50" s="8"/>
      <c r="K50" s="8"/>
      <c r="L50" s="8"/>
      <c r="M50" s="8"/>
      <c r="N50" s="8"/>
      <c r="O50" s="8"/>
      <c r="P50" s="8"/>
      <c r="Q50" s="8"/>
      <c r="R50" s="8"/>
      <c r="S50" s="8"/>
      <c r="T50" s="8"/>
      <c r="U50" s="8"/>
      <c r="V50" s="8"/>
      <c r="W50" s="8"/>
      <c r="X50" s="8"/>
      <c r="Y50" s="8"/>
      <c r="Z50" s="8"/>
    </row>
    <row r="51" ht="15.0" customHeight="1">
      <c r="A51" s="58">
        <v>3.9001967E7</v>
      </c>
      <c r="B51" s="59" t="s">
        <v>156</v>
      </c>
      <c r="C51" s="59" t="s">
        <v>157</v>
      </c>
      <c r="D51" s="60">
        <v>13.0</v>
      </c>
      <c r="E51" s="59" t="str">
        <f t="shared" si="1"/>
        <v>Admis</v>
      </c>
      <c r="F51" s="8"/>
      <c r="G51" s="8"/>
      <c r="H51" s="8"/>
      <c r="I51" s="8"/>
      <c r="J51" s="8"/>
      <c r="K51" s="8"/>
      <c r="L51" s="8"/>
      <c r="M51" s="8"/>
      <c r="N51" s="8"/>
      <c r="O51" s="8"/>
      <c r="P51" s="8"/>
      <c r="Q51" s="8"/>
      <c r="R51" s="8"/>
      <c r="S51" s="8"/>
      <c r="T51" s="8"/>
      <c r="U51" s="8"/>
      <c r="V51" s="8"/>
      <c r="W51" s="8"/>
      <c r="X51" s="8"/>
      <c r="Y51" s="8"/>
      <c r="Z51" s="8"/>
    </row>
    <row r="52" ht="15.0" customHeight="1">
      <c r="A52" s="58">
        <v>3.9000026E7</v>
      </c>
      <c r="B52" s="59" t="s">
        <v>158</v>
      </c>
      <c r="C52" s="59" t="s">
        <v>159</v>
      </c>
      <c r="D52" s="60">
        <v>11.0</v>
      </c>
      <c r="E52" s="59" t="str">
        <f t="shared" si="1"/>
        <v>Admis</v>
      </c>
      <c r="F52" s="8"/>
      <c r="G52" s="8"/>
      <c r="H52" s="8"/>
      <c r="I52" s="8"/>
      <c r="J52" s="8"/>
      <c r="K52" s="8"/>
      <c r="L52" s="8"/>
      <c r="M52" s="8"/>
      <c r="N52" s="8"/>
      <c r="O52" s="8"/>
      <c r="P52" s="8"/>
      <c r="Q52" s="8"/>
      <c r="R52" s="8"/>
      <c r="S52" s="8"/>
      <c r="T52" s="8"/>
      <c r="U52" s="8"/>
      <c r="V52" s="8"/>
      <c r="W52" s="8"/>
      <c r="X52" s="8"/>
      <c r="Y52" s="8"/>
      <c r="Z52" s="8"/>
    </row>
    <row r="53" ht="15.0" customHeight="1">
      <c r="A53" s="58">
        <v>3.9006545E7</v>
      </c>
      <c r="B53" s="59" t="s">
        <v>160</v>
      </c>
      <c r="C53" s="59" t="s">
        <v>161</v>
      </c>
      <c r="D53" s="60">
        <v>8.0</v>
      </c>
      <c r="E53" s="59" t="str">
        <f t="shared" si="1"/>
        <v>Ajourné</v>
      </c>
      <c r="F53" s="8"/>
      <c r="G53" s="8"/>
      <c r="H53" s="8"/>
      <c r="I53" s="8"/>
      <c r="J53" s="8"/>
      <c r="K53" s="8"/>
      <c r="L53" s="8"/>
      <c r="M53" s="8"/>
      <c r="N53" s="8"/>
      <c r="O53" s="8"/>
      <c r="P53" s="8"/>
      <c r="Q53" s="8"/>
      <c r="R53" s="8"/>
      <c r="S53" s="8"/>
      <c r="T53" s="8"/>
      <c r="U53" s="8"/>
      <c r="V53" s="8"/>
      <c r="W53" s="8"/>
      <c r="X53" s="8"/>
      <c r="Y53" s="8"/>
      <c r="Z53" s="8"/>
    </row>
    <row r="54" ht="15.0" customHeight="1">
      <c r="A54" s="58">
        <v>3.8003476E7</v>
      </c>
      <c r="B54" s="59" t="s">
        <v>162</v>
      </c>
      <c r="C54" s="59" t="s">
        <v>163</v>
      </c>
      <c r="D54" s="60">
        <v>6.0</v>
      </c>
      <c r="E54" s="59" t="str">
        <f t="shared" si="1"/>
        <v>Ajourné</v>
      </c>
      <c r="F54" s="8"/>
      <c r="G54" s="8"/>
      <c r="H54" s="8"/>
      <c r="I54" s="8"/>
      <c r="J54" s="8"/>
      <c r="K54" s="8"/>
      <c r="L54" s="8"/>
      <c r="M54" s="8"/>
      <c r="N54" s="8"/>
      <c r="O54" s="8"/>
      <c r="P54" s="8"/>
      <c r="Q54" s="8"/>
      <c r="R54" s="8"/>
      <c r="S54" s="8"/>
      <c r="T54" s="8"/>
      <c r="U54" s="8"/>
      <c r="V54" s="8"/>
      <c r="W54" s="8"/>
      <c r="X54" s="8"/>
      <c r="Y54" s="8"/>
      <c r="Z54" s="8"/>
    </row>
    <row r="55" ht="15.0" customHeight="1">
      <c r="A55" s="58">
        <v>3.8003502E7</v>
      </c>
      <c r="B55" s="59" t="s">
        <v>164</v>
      </c>
      <c r="C55" s="59" t="s">
        <v>165</v>
      </c>
      <c r="D55" s="60">
        <v>8.0</v>
      </c>
      <c r="E55" s="59" t="str">
        <f t="shared" si="1"/>
        <v>Ajourné</v>
      </c>
      <c r="F55" s="8"/>
      <c r="G55" s="8"/>
      <c r="H55" s="8"/>
      <c r="I55" s="8"/>
      <c r="J55" s="8"/>
      <c r="K55" s="8"/>
      <c r="L55" s="8"/>
      <c r="M55" s="8"/>
      <c r="N55" s="8"/>
      <c r="O55" s="8"/>
      <c r="P55" s="8"/>
      <c r="Q55" s="8"/>
      <c r="R55" s="8"/>
      <c r="S55" s="8"/>
      <c r="T55" s="8"/>
      <c r="U55" s="8"/>
      <c r="V55" s="8"/>
      <c r="W55" s="8"/>
      <c r="X55" s="8"/>
      <c r="Y55" s="8"/>
      <c r="Z55" s="8"/>
    </row>
    <row r="56" ht="15.0" customHeight="1">
      <c r="A56" s="58">
        <v>3.9000933E7</v>
      </c>
      <c r="B56" s="59" t="s">
        <v>166</v>
      </c>
      <c r="C56" s="59" t="s">
        <v>121</v>
      </c>
      <c r="D56" s="60">
        <v>11.0</v>
      </c>
      <c r="E56" s="59" t="str">
        <f t="shared" si="1"/>
        <v>Admis</v>
      </c>
      <c r="F56" s="8"/>
      <c r="G56" s="8"/>
      <c r="H56" s="8"/>
      <c r="I56" s="8"/>
      <c r="J56" s="8"/>
      <c r="K56" s="8"/>
      <c r="L56" s="8"/>
      <c r="M56" s="8"/>
      <c r="N56" s="8"/>
      <c r="O56" s="8"/>
      <c r="P56" s="8"/>
      <c r="Q56" s="8"/>
      <c r="R56" s="8"/>
      <c r="S56" s="8"/>
      <c r="T56" s="8"/>
      <c r="U56" s="8"/>
      <c r="V56" s="8"/>
      <c r="W56" s="8"/>
      <c r="X56" s="8"/>
      <c r="Y56" s="8"/>
      <c r="Z56" s="8"/>
    </row>
    <row r="57" ht="15.0" customHeight="1">
      <c r="A57" s="58">
        <v>4.0006925E7</v>
      </c>
      <c r="B57" s="59" t="s">
        <v>167</v>
      </c>
      <c r="C57" s="59" t="s">
        <v>168</v>
      </c>
      <c r="D57" s="60">
        <v>0.0</v>
      </c>
      <c r="E57" s="59" t="str">
        <f t="shared" si="1"/>
        <v>Ajourné</v>
      </c>
      <c r="F57" s="8"/>
      <c r="G57" s="8"/>
      <c r="H57" s="8"/>
      <c r="I57" s="8"/>
      <c r="J57" s="8"/>
      <c r="K57" s="8"/>
      <c r="L57" s="8"/>
      <c r="M57" s="8"/>
      <c r="N57" s="8"/>
      <c r="O57" s="8"/>
      <c r="P57" s="8"/>
      <c r="Q57" s="8"/>
      <c r="R57" s="8"/>
      <c r="S57" s="8"/>
      <c r="T57" s="8"/>
      <c r="U57" s="8"/>
      <c r="V57" s="8"/>
      <c r="W57" s="8"/>
      <c r="X57" s="8"/>
      <c r="Y57" s="8"/>
      <c r="Z57" s="8"/>
    </row>
    <row r="58" ht="15.0" customHeight="1">
      <c r="A58" s="58">
        <v>4.0008354E7</v>
      </c>
      <c r="B58" s="59" t="s">
        <v>169</v>
      </c>
      <c r="C58" s="59" t="s">
        <v>170</v>
      </c>
      <c r="D58" s="60">
        <v>1.0</v>
      </c>
      <c r="E58" s="59" t="str">
        <f t="shared" si="1"/>
        <v>Ajourné</v>
      </c>
      <c r="F58" s="8"/>
      <c r="G58" s="8"/>
      <c r="H58" s="8"/>
      <c r="I58" s="8"/>
      <c r="J58" s="8"/>
      <c r="K58" s="8"/>
      <c r="L58" s="8"/>
      <c r="M58" s="8"/>
      <c r="N58" s="8"/>
      <c r="O58" s="8"/>
      <c r="P58" s="8"/>
      <c r="Q58" s="8"/>
      <c r="R58" s="8"/>
      <c r="S58" s="8"/>
      <c r="T58" s="8"/>
      <c r="U58" s="8"/>
      <c r="V58" s="8"/>
      <c r="W58" s="8"/>
      <c r="X58" s="8"/>
      <c r="Y58" s="8"/>
      <c r="Z58" s="8"/>
    </row>
    <row r="59" ht="15.0" customHeight="1">
      <c r="A59" s="58">
        <v>3.9004246E7</v>
      </c>
      <c r="B59" s="59" t="s">
        <v>171</v>
      </c>
      <c r="C59" s="59" t="s">
        <v>172</v>
      </c>
      <c r="D59" s="60">
        <v>14.0</v>
      </c>
      <c r="E59" s="59" t="str">
        <f t="shared" si="1"/>
        <v>Admis</v>
      </c>
      <c r="F59" s="8"/>
      <c r="G59" s="8"/>
      <c r="H59" s="8"/>
      <c r="I59" s="8"/>
      <c r="J59" s="8"/>
      <c r="K59" s="8"/>
      <c r="L59" s="8"/>
      <c r="M59" s="8"/>
      <c r="N59" s="8"/>
      <c r="O59" s="8"/>
      <c r="P59" s="8"/>
      <c r="Q59" s="8"/>
      <c r="R59" s="8"/>
      <c r="S59" s="8"/>
      <c r="T59" s="8"/>
      <c r="U59" s="8"/>
      <c r="V59" s="8"/>
      <c r="W59" s="8"/>
      <c r="X59" s="8"/>
      <c r="Y59" s="8"/>
      <c r="Z59" s="8"/>
    </row>
    <row r="60" ht="15.0" customHeight="1">
      <c r="A60" s="58">
        <v>3.9004236E7</v>
      </c>
      <c r="B60" s="59" t="s">
        <v>173</v>
      </c>
      <c r="C60" s="59" t="s">
        <v>174</v>
      </c>
      <c r="D60" s="60">
        <v>15.0</v>
      </c>
      <c r="E60" s="59" t="str">
        <f t="shared" si="1"/>
        <v>Admis</v>
      </c>
      <c r="F60" s="8"/>
      <c r="G60" s="8"/>
      <c r="H60" s="8"/>
      <c r="I60" s="8"/>
      <c r="J60" s="8"/>
      <c r="K60" s="8"/>
      <c r="L60" s="8"/>
      <c r="M60" s="8"/>
      <c r="N60" s="8"/>
      <c r="O60" s="8"/>
      <c r="P60" s="8"/>
      <c r="Q60" s="8"/>
      <c r="R60" s="8"/>
      <c r="S60" s="8"/>
      <c r="T60" s="8"/>
      <c r="U60" s="8"/>
      <c r="V60" s="8"/>
      <c r="W60" s="8"/>
      <c r="X60" s="8"/>
      <c r="Y60" s="8"/>
      <c r="Z60" s="8"/>
    </row>
    <row r="61" ht="15.0" customHeight="1">
      <c r="A61" s="58">
        <v>3.9004882E7</v>
      </c>
      <c r="B61" s="59" t="s">
        <v>175</v>
      </c>
      <c r="C61" s="59" t="s">
        <v>176</v>
      </c>
      <c r="D61" s="60">
        <v>16.0</v>
      </c>
      <c r="E61" s="59" t="str">
        <f t="shared" si="1"/>
        <v>Admis</v>
      </c>
      <c r="F61" s="8"/>
      <c r="G61" s="8"/>
      <c r="H61" s="8"/>
      <c r="I61" s="8"/>
      <c r="J61" s="8"/>
      <c r="K61" s="8"/>
      <c r="L61" s="8"/>
      <c r="M61" s="8"/>
      <c r="N61" s="8"/>
      <c r="O61" s="8"/>
      <c r="P61" s="8"/>
      <c r="Q61" s="8"/>
      <c r="R61" s="8"/>
      <c r="S61" s="8"/>
      <c r="T61" s="8"/>
      <c r="U61" s="8"/>
      <c r="V61" s="8"/>
      <c r="W61" s="8"/>
      <c r="X61" s="8"/>
      <c r="Y61" s="8"/>
      <c r="Z61" s="8"/>
    </row>
    <row r="62" ht="15.0" customHeight="1">
      <c r="A62" s="58">
        <v>3.9001981E7</v>
      </c>
      <c r="B62" s="59" t="s">
        <v>177</v>
      </c>
      <c r="C62" s="59" t="s">
        <v>178</v>
      </c>
      <c r="D62" s="60">
        <v>18.0</v>
      </c>
      <c r="E62" s="59" t="str">
        <f t="shared" si="1"/>
        <v>Admis</v>
      </c>
      <c r="F62" s="8"/>
      <c r="G62" s="8"/>
      <c r="H62" s="8"/>
      <c r="I62" s="8"/>
      <c r="J62" s="8"/>
      <c r="K62" s="8"/>
      <c r="L62" s="8"/>
      <c r="M62" s="8"/>
      <c r="N62" s="8"/>
      <c r="O62" s="8"/>
      <c r="P62" s="8"/>
      <c r="Q62" s="8"/>
      <c r="R62" s="8"/>
      <c r="S62" s="8"/>
      <c r="T62" s="8"/>
      <c r="U62" s="8"/>
      <c r="V62" s="8"/>
      <c r="W62" s="8"/>
      <c r="X62" s="8"/>
      <c r="Y62" s="8"/>
      <c r="Z62" s="8"/>
    </row>
    <row r="63" ht="15.0" customHeight="1">
      <c r="A63" s="58">
        <v>3.9003873E7</v>
      </c>
      <c r="B63" s="59" t="s">
        <v>71</v>
      </c>
      <c r="C63" s="59" t="s">
        <v>179</v>
      </c>
      <c r="D63" s="60">
        <v>8.0</v>
      </c>
      <c r="E63" s="59" t="str">
        <f t="shared" si="1"/>
        <v>Ajourné</v>
      </c>
      <c r="F63" s="8"/>
      <c r="G63" s="8"/>
      <c r="H63" s="8"/>
      <c r="I63" s="8"/>
      <c r="J63" s="8"/>
      <c r="K63" s="8"/>
      <c r="L63" s="8"/>
      <c r="M63" s="8"/>
      <c r="N63" s="8"/>
      <c r="O63" s="8"/>
      <c r="P63" s="8"/>
      <c r="Q63" s="8"/>
      <c r="R63" s="8"/>
      <c r="S63" s="8"/>
      <c r="T63" s="8"/>
      <c r="U63" s="8"/>
      <c r="V63" s="8"/>
      <c r="W63" s="8"/>
      <c r="X63" s="8"/>
      <c r="Y63" s="8"/>
      <c r="Z63" s="8"/>
    </row>
    <row r="64" ht="15.0" customHeight="1">
      <c r="A64" s="58">
        <v>3.8003282E7</v>
      </c>
      <c r="B64" s="59" t="s">
        <v>180</v>
      </c>
      <c r="C64" s="59" t="s">
        <v>181</v>
      </c>
      <c r="D64" s="60">
        <v>4.0</v>
      </c>
      <c r="E64" s="59" t="str">
        <f t="shared" si="1"/>
        <v>Ajourné</v>
      </c>
      <c r="F64" s="8"/>
      <c r="G64" s="8"/>
      <c r="H64" s="8"/>
      <c r="I64" s="8"/>
      <c r="J64" s="8"/>
      <c r="K64" s="8"/>
      <c r="L64" s="8"/>
      <c r="M64" s="8"/>
      <c r="N64" s="8"/>
      <c r="O64" s="8"/>
      <c r="P64" s="8"/>
      <c r="Q64" s="8"/>
      <c r="R64" s="8"/>
      <c r="S64" s="8"/>
      <c r="T64" s="8"/>
      <c r="U64" s="8"/>
      <c r="V64" s="8"/>
      <c r="W64" s="8"/>
      <c r="X64" s="8"/>
      <c r="Y64" s="8"/>
      <c r="Z64" s="8"/>
    </row>
    <row r="65" ht="15.0" customHeight="1">
      <c r="A65" s="58">
        <v>3.9000072E7</v>
      </c>
      <c r="B65" s="59" t="s">
        <v>182</v>
      </c>
      <c r="C65" s="59" t="s">
        <v>183</v>
      </c>
      <c r="D65" s="60">
        <v>20.0</v>
      </c>
      <c r="E65" s="59" t="str">
        <f t="shared" si="1"/>
        <v>Admis</v>
      </c>
      <c r="F65" s="8"/>
      <c r="G65" s="8"/>
      <c r="H65" s="8"/>
      <c r="I65" s="8"/>
      <c r="J65" s="8"/>
      <c r="K65" s="8"/>
      <c r="L65" s="8"/>
      <c r="M65" s="8"/>
      <c r="N65" s="8"/>
      <c r="O65" s="8"/>
      <c r="P65" s="8"/>
      <c r="Q65" s="8"/>
      <c r="R65" s="8"/>
      <c r="S65" s="8"/>
      <c r="T65" s="8"/>
      <c r="U65" s="8"/>
      <c r="V65" s="8"/>
      <c r="W65" s="8"/>
      <c r="X65" s="8"/>
      <c r="Y65" s="8"/>
      <c r="Z65" s="8"/>
    </row>
    <row r="66" ht="15.0" customHeight="1">
      <c r="A66" s="58">
        <v>3.9005173E7</v>
      </c>
      <c r="B66" s="59" t="s">
        <v>184</v>
      </c>
      <c r="C66" s="59" t="s">
        <v>185</v>
      </c>
      <c r="D66" s="60">
        <v>13.0</v>
      </c>
      <c r="E66" s="59" t="str">
        <f t="shared" si="1"/>
        <v>Admis</v>
      </c>
      <c r="F66" s="8"/>
      <c r="G66" s="8"/>
      <c r="H66" s="8"/>
      <c r="I66" s="8"/>
      <c r="J66" s="8"/>
      <c r="K66" s="8"/>
      <c r="L66" s="8"/>
      <c r="M66" s="8"/>
      <c r="N66" s="8"/>
      <c r="O66" s="8"/>
      <c r="P66" s="8"/>
      <c r="Q66" s="8"/>
      <c r="R66" s="8"/>
      <c r="S66" s="8"/>
      <c r="T66" s="8"/>
      <c r="U66" s="8"/>
      <c r="V66" s="8"/>
      <c r="W66" s="8"/>
      <c r="X66" s="8"/>
      <c r="Y66" s="8"/>
      <c r="Z66" s="8"/>
    </row>
    <row r="67" ht="15.0" customHeight="1">
      <c r="A67" s="58">
        <v>3.9007051E7</v>
      </c>
      <c r="B67" s="59" t="s">
        <v>186</v>
      </c>
      <c r="C67" s="59" t="s">
        <v>187</v>
      </c>
      <c r="D67" s="60">
        <v>19.0</v>
      </c>
      <c r="E67" s="59" t="str">
        <f t="shared" si="1"/>
        <v>Admis</v>
      </c>
      <c r="F67" s="8"/>
      <c r="G67" s="8"/>
      <c r="H67" s="8"/>
      <c r="I67" s="8"/>
      <c r="J67" s="8"/>
      <c r="K67" s="8"/>
      <c r="L67" s="8"/>
      <c r="M67" s="8"/>
      <c r="N67" s="8"/>
      <c r="O67" s="8"/>
      <c r="P67" s="8"/>
      <c r="Q67" s="8"/>
      <c r="R67" s="8"/>
      <c r="S67" s="8"/>
      <c r="T67" s="8"/>
      <c r="U67" s="8"/>
      <c r="V67" s="8"/>
      <c r="W67" s="8"/>
      <c r="X67" s="8"/>
      <c r="Y67" s="8"/>
      <c r="Z67" s="8"/>
    </row>
    <row r="68" ht="15.0" customHeight="1">
      <c r="A68" s="58">
        <v>3.8006197E7</v>
      </c>
      <c r="B68" s="59" t="s">
        <v>188</v>
      </c>
      <c r="C68" s="59" t="s">
        <v>189</v>
      </c>
      <c r="D68" s="60">
        <v>16.0</v>
      </c>
      <c r="E68" s="59" t="str">
        <f t="shared" si="1"/>
        <v>Admis</v>
      </c>
      <c r="F68" s="8"/>
      <c r="G68" s="8"/>
      <c r="H68" s="8"/>
      <c r="I68" s="8"/>
      <c r="J68" s="8"/>
      <c r="K68" s="8"/>
      <c r="L68" s="8"/>
      <c r="M68" s="8"/>
      <c r="N68" s="8"/>
      <c r="O68" s="8"/>
      <c r="P68" s="8"/>
      <c r="Q68" s="8"/>
      <c r="R68" s="8"/>
      <c r="S68" s="8"/>
      <c r="T68" s="8"/>
      <c r="U68" s="8"/>
      <c r="V68" s="8"/>
      <c r="W68" s="8"/>
      <c r="X68" s="8"/>
      <c r="Y68" s="8"/>
      <c r="Z68" s="8"/>
    </row>
    <row r="69" ht="15.0" customHeight="1">
      <c r="A69" s="58">
        <v>3.9000252E7</v>
      </c>
      <c r="B69" s="59" t="s">
        <v>190</v>
      </c>
      <c r="C69" s="59" t="s">
        <v>191</v>
      </c>
      <c r="D69" s="60">
        <v>13.0</v>
      </c>
      <c r="E69" s="59" t="str">
        <f t="shared" si="1"/>
        <v>Admis</v>
      </c>
      <c r="F69" s="8"/>
      <c r="G69" s="8"/>
      <c r="H69" s="8"/>
      <c r="I69" s="8"/>
      <c r="J69" s="8"/>
      <c r="K69" s="8"/>
      <c r="L69" s="8"/>
      <c r="M69" s="8"/>
      <c r="N69" s="8"/>
      <c r="O69" s="8"/>
      <c r="P69" s="8"/>
      <c r="Q69" s="8"/>
      <c r="R69" s="8"/>
      <c r="S69" s="8"/>
      <c r="T69" s="8"/>
      <c r="U69" s="8"/>
      <c r="V69" s="8"/>
      <c r="W69" s="8"/>
      <c r="X69" s="8"/>
      <c r="Y69" s="8"/>
      <c r="Z69" s="8"/>
    </row>
    <row r="70" ht="15.0" customHeight="1">
      <c r="A70" s="58">
        <v>3.9000594E7</v>
      </c>
      <c r="B70" s="59" t="s">
        <v>192</v>
      </c>
      <c r="C70" s="59" t="s">
        <v>193</v>
      </c>
      <c r="D70" s="60">
        <v>10.0</v>
      </c>
      <c r="E70" s="59" t="str">
        <f t="shared" si="1"/>
        <v>Admis</v>
      </c>
      <c r="F70" s="8"/>
      <c r="G70" s="8"/>
      <c r="H70" s="8"/>
      <c r="I70" s="8"/>
      <c r="J70" s="8"/>
      <c r="K70" s="8"/>
      <c r="L70" s="8"/>
      <c r="M70" s="8"/>
      <c r="N70" s="8"/>
      <c r="O70" s="8"/>
      <c r="P70" s="8"/>
      <c r="Q70" s="8"/>
      <c r="R70" s="8"/>
      <c r="S70" s="8"/>
      <c r="T70" s="8"/>
      <c r="U70" s="8"/>
      <c r="V70" s="8"/>
      <c r="W70" s="8"/>
      <c r="X70" s="8"/>
      <c r="Y70" s="8"/>
      <c r="Z70" s="8"/>
    </row>
    <row r="71" ht="15.0" customHeight="1">
      <c r="A71" s="58">
        <v>3.900149E7</v>
      </c>
      <c r="B71" s="59" t="s">
        <v>112</v>
      </c>
      <c r="C71" s="59" t="s">
        <v>194</v>
      </c>
      <c r="D71" s="60">
        <v>6.0</v>
      </c>
      <c r="E71" s="59" t="str">
        <f t="shared" si="1"/>
        <v>Ajourné</v>
      </c>
      <c r="F71" s="8"/>
      <c r="G71" s="8"/>
      <c r="H71" s="8"/>
      <c r="I71" s="8"/>
      <c r="J71" s="8"/>
      <c r="K71" s="8"/>
      <c r="L71" s="8"/>
      <c r="M71" s="8"/>
      <c r="N71" s="8"/>
      <c r="O71" s="8"/>
      <c r="P71" s="8"/>
      <c r="Q71" s="8"/>
      <c r="R71" s="8"/>
      <c r="S71" s="8"/>
      <c r="T71" s="8"/>
      <c r="U71" s="8"/>
      <c r="V71" s="8"/>
      <c r="W71" s="8"/>
      <c r="X71" s="8"/>
      <c r="Y71" s="8"/>
      <c r="Z71" s="8"/>
    </row>
    <row r="72" ht="15.0" customHeight="1">
      <c r="A72" s="58">
        <v>3.8007163E7</v>
      </c>
      <c r="B72" s="59" t="s">
        <v>195</v>
      </c>
      <c r="C72" s="59" t="s">
        <v>196</v>
      </c>
      <c r="D72" s="60">
        <v>6.0</v>
      </c>
      <c r="E72" s="59" t="str">
        <f t="shared" si="1"/>
        <v>Ajourné</v>
      </c>
      <c r="F72" s="8"/>
      <c r="G72" s="8"/>
      <c r="H72" s="8"/>
      <c r="I72" s="8"/>
      <c r="J72" s="8"/>
      <c r="K72" s="8"/>
      <c r="L72" s="8"/>
      <c r="M72" s="8"/>
      <c r="N72" s="8"/>
      <c r="O72" s="8"/>
      <c r="P72" s="8"/>
      <c r="Q72" s="8"/>
      <c r="R72" s="8"/>
      <c r="S72" s="8"/>
      <c r="T72" s="8"/>
      <c r="U72" s="8"/>
      <c r="V72" s="8"/>
      <c r="W72" s="8"/>
      <c r="X72" s="8"/>
      <c r="Y72" s="8"/>
      <c r="Z72" s="8"/>
    </row>
    <row r="73" ht="15.0" customHeight="1">
      <c r="A73" s="58">
        <v>3.900773E7</v>
      </c>
      <c r="B73" s="59" t="s">
        <v>197</v>
      </c>
      <c r="C73" s="59" t="s">
        <v>198</v>
      </c>
      <c r="D73" s="60">
        <v>6.0</v>
      </c>
      <c r="E73" s="59" t="str">
        <f t="shared" si="1"/>
        <v>Ajourné</v>
      </c>
      <c r="F73" s="8"/>
      <c r="G73" s="8"/>
      <c r="H73" s="8"/>
      <c r="I73" s="8"/>
      <c r="J73" s="8"/>
      <c r="K73" s="8"/>
      <c r="L73" s="8"/>
      <c r="M73" s="8"/>
      <c r="N73" s="8"/>
      <c r="O73" s="8"/>
      <c r="P73" s="8"/>
      <c r="Q73" s="8"/>
      <c r="R73" s="8"/>
      <c r="S73" s="8"/>
      <c r="T73" s="8"/>
      <c r="U73" s="8"/>
      <c r="V73" s="8"/>
      <c r="W73" s="8"/>
      <c r="X73" s="8"/>
      <c r="Y73" s="8"/>
      <c r="Z73" s="8"/>
    </row>
    <row r="74" ht="15.0" customHeight="1">
      <c r="A74" s="58">
        <v>3.90012E7</v>
      </c>
      <c r="B74" s="59" t="s">
        <v>199</v>
      </c>
      <c r="C74" s="59" t="s">
        <v>200</v>
      </c>
      <c r="D74" s="60">
        <v>14.0</v>
      </c>
      <c r="E74" s="59" t="str">
        <f t="shared" si="1"/>
        <v>Admis</v>
      </c>
      <c r="F74" s="8"/>
      <c r="G74" s="8"/>
      <c r="H74" s="8"/>
      <c r="I74" s="8"/>
      <c r="J74" s="8"/>
      <c r="K74" s="8"/>
      <c r="L74" s="8"/>
      <c r="M74" s="8"/>
      <c r="N74" s="8"/>
      <c r="O74" s="8"/>
      <c r="P74" s="8"/>
      <c r="Q74" s="8"/>
      <c r="R74" s="8"/>
      <c r="S74" s="8"/>
      <c r="T74" s="8"/>
      <c r="U74" s="8"/>
      <c r="V74" s="8"/>
      <c r="W74" s="8"/>
      <c r="X74" s="8"/>
      <c r="Y74" s="8"/>
      <c r="Z74" s="8"/>
    </row>
    <row r="75" ht="15.0" customHeight="1">
      <c r="A75" s="58">
        <v>3.9001027E7</v>
      </c>
      <c r="B75" s="59" t="s">
        <v>201</v>
      </c>
      <c r="C75" s="59" t="s">
        <v>202</v>
      </c>
      <c r="D75" s="60">
        <v>1.0</v>
      </c>
      <c r="E75" s="59" t="str">
        <f t="shared" si="1"/>
        <v>Ajourné</v>
      </c>
      <c r="F75" s="8"/>
      <c r="G75" s="8"/>
      <c r="H75" s="8"/>
      <c r="I75" s="8"/>
      <c r="J75" s="8"/>
      <c r="K75" s="8"/>
      <c r="L75" s="8"/>
      <c r="M75" s="8"/>
      <c r="N75" s="8"/>
      <c r="O75" s="8"/>
      <c r="P75" s="8"/>
      <c r="Q75" s="8"/>
      <c r="R75" s="8"/>
      <c r="S75" s="8"/>
      <c r="T75" s="8"/>
      <c r="U75" s="8"/>
      <c r="V75" s="8"/>
      <c r="W75" s="8"/>
      <c r="X75" s="8"/>
      <c r="Y75" s="8"/>
      <c r="Z75" s="8"/>
    </row>
    <row r="76" ht="15.0" customHeight="1">
      <c r="A76" s="58">
        <v>3.7002579E7</v>
      </c>
      <c r="B76" s="59" t="s">
        <v>203</v>
      </c>
      <c r="C76" s="59" t="s">
        <v>204</v>
      </c>
      <c r="D76" s="60">
        <v>5.0</v>
      </c>
      <c r="E76" s="59" t="str">
        <f t="shared" si="1"/>
        <v>Ajourné</v>
      </c>
      <c r="F76" s="8"/>
      <c r="G76" s="8"/>
      <c r="H76" s="8"/>
      <c r="I76" s="8"/>
      <c r="J76" s="8"/>
      <c r="K76" s="8"/>
      <c r="L76" s="8"/>
      <c r="M76" s="8"/>
      <c r="N76" s="8"/>
      <c r="O76" s="8"/>
      <c r="P76" s="8"/>
      <c r="Q76" s="8"/>
      <c r="R76" s="8"/>
      <c r="S76" s="8"/>
      <c r="T76" s="8"/>
      <c r="U76" s="8"/>
      <c r="V76" s="8"/>
      <c r="W76" s="8"/>
      <c r="X76" s="8"/>
      <c r="Y76" s="8"/>
      <c r="Z76" s="8"/>
    </row>
    <row r="77" ht="15.0" customHeight="1">
      <c r="A77" s="58">
        <v>3.9007291E7</v>
      </c>
      <c r="B77" s="59" t="s">
        <v>205</v>
      </c>
      <c r="C77" s="59" t="s">
        <v>206</v>
      </c>
      <c r="D77" s="60">
        <v>7.0</v>
      </c>
      <c r="E77" s="59" t="str">
        <f t="shared" si="1"/>
        <v>Ajourné</v>
      </c>
      <c r="F77" s="8"/>
      <c r="G77" s="8"/>
      <c r="H77" s="8"/>
      <c r="I77" s="8"/>
      <c r="J77" s="8"/>
      <c r="K77" s="8"/>
      <c r="L77" s="8"/>
      <c r="M77" s="8"/>
      <c r="N77" s="8"/>
      <c r="O77" s="8"/>
      <c r="P77" s="8"/>
      <c r="Q77" s="8"/>
      <c r="R77" s="8"/>
      <c r="S77" s="8"/>
      <c r="T77" s="8"/>
      <c r="U77" s="8"/>
      <c r="V77" s="8"/>
      <c r="W77" s="8"/>
      <c r="X77" s="8"/>
      <c r="Y77" s="8"/>
      <c r="Z77" s="8"/>
    </row>
    <row r="78" ht="15.0" customHeight="1">
      <c r="A78" s="58">
        <v>3.800293E7</v>
      </c>
      <c r="B78" s="59" t="s">
        <v>207</v>
      </c>
      <c r="C78" s="59" t="s">
        <v>208</v>
      </c>
      <c r="D78" s="60">
        <v>8.0</v>
      </c>
      <c r="E78" s="59" t="str">
        <f t="shared" si="1"/>
        <v>Ajourné</v>
      </c>
      <c r="F78" s="8"/>
      <c r="G78" s="8"/>
      <c r="H78" s="8"/>
      <c r="I78" s="8"/>
      <c r="J78" s="8"/>
      <c r="K78" s="8"/>
      <c r="L78" s="8"/>
      <c r="M78" s="8"/>
      <c r="N78" s="8"/>
      <c r="O78" s="8"/>
      <c r="P78" s="8"/>
      <c r="Q78" s="8"/>
      <c r="R78" s="8"/>
      <c r="S78" s="8"/>
      <c r="T78" s="8"/>
      <c r="U78" s="8"/>
      <c r="V78" s="8"/>
      <c r="W78" s="8"/>
      <c r="X78" s="8"/>
      <c r="Y78" s="8"/>
      <c r="Z78" s="8"/>
    </row>
    <row r="79" ht="15.0" customHeight="1">
      <c r="A79" s="58">
        <v>3.9002238E7</v>
      </c>
      <c r="B79" s="59" t="s">
        <v>209</v>
      </c>
      <c r="C79" s="59" t="s">
        <v>111</v>
      </c>
      <c r="D79" s="60">
        <v>20.0</v>
      </c>
      <c r="E79" s="59" t="str">
        <f t="shared" si="1"/>
        <v>Admis</v>
      </c>
      <c r="F79" s="8"/>
      <c r="G79" s="8"/>
      <c r="H79" s="8"/>
      <c r="I79" s="8"/>
      <c r="J79" s="8"/>
      <c r="K79" s="8"/>
      <c r="L79" s="8"/>
      <c r="M79" s="8"/>
      <c r="N79" s="8"/>
      <c r="O79" s="8"/>
      <c r="P79" s="8"/>
      <c r="Q79" s="8"/>
      <c r="R79" s="8"/>
      <c r="S79" s="8"/>
      <c r="T79" s="8"/>
      <c r="U79" s="8"/>
      <c r="V79" s="8"/>
      <c r="W79" s="8"/>
      <c r="X79" s="8"/>
      <c r="Y79" s="8"/>
      <c r="Z79" s="8"/>
    </row>
    <row r="80" ht="15.0" customHeight="1">
      <c r="A80" s="58">
        <v>3.8004348E7</v>
      </c>
      <c r="B80" s="59" t="s">
        <v>210</v>
      </c>
      <c r="C80" s="59" t="s">
        <v>211</v>
      </c>
      <c r="D80" s="60">
        <v>18.0</v>
      </c>
      <c r="E80" s="59" t="str">
        <f t="shared" si="1"/>
        <v>Admis</v>
      </c>
      <c r="F80" s="8"/>
      <c r="G80" s="8"/>
      <c r="H80" s="8"/>
      <c r="I80" s="8"/>
      <c r="J80" s="8"/>
      <c r="K80" s="8"/>
      <c r="L80" s="8"/>
      <c r="M80" s="8"/>
      <c r="N80" s="8"/>
      <c r="O80" s="8"/>
      <c r="P80" s="8"/>
      <c r="Q80" s="8"/>
      <c r="R80" s="8"/>
      <c r="S80" s="8"/>
      <c r="T80" s="8"/>
      <c r="U80" s="8"/>
      <c r="V80" s="8"/>
      <c r="W80" s="8"/>
      <c r="X80" s="8"/>
      <c r="Y80" s="8"/>
      <c r="Z80" s="8"/>
    </row>
    <row r="81" ht="15.0" customHeight="1">
      <c r="A81" s="58">
        <v>3.9008428E7</v>
      </c>
      <c r="B81" s="59" t="s">
        <v>212</v>
      </c>
      <c r="C81" s="59" t="s">
        <v>213</v>
      </c>
      <c r="D81" s="60">
        <v>11.0</v>
      </c>
      <c r="E81" s="59" t="str">
        <f t="shared" si="1"/>
        <v>Admis</v>
      </c>
      <c r="F81" s="8"/>
      <c r="G81" s="8"/>
      <c r="H81" s="8"/>
      <c r="I81" s="8"/>
      <c r="J81" s="8"/>
      <c r="K81" s="8"/>
      <c r="L81" s="8"/>
      <c r="M81" s="8"/>
      <c r="N81" s="8"/>
      <c r="O81" s="8"/>
      <c r="P81" s="8"/>
      <c r="Q81" s="8"/>
      <c r="R81" s="8"/>
      <c r="S81" s="8"/>
      <c r="T81" s="8"/>
      <c r="U81" s="8"/>
      <c r="V81" s="8"/>
      <c r="W81" s="8"/>
      <c r="X81" s="8"/>
      <c r="Y81" s="8"/>
      <c r="Z81" s="8"/>
    </row>
    <row r="82" ht="15.0" customHeight="1">
      <c r="A82" s="58">
        <v>3.9003381E7</v>
      </c>
      <c r="B82" s="59" t="s">
        <v>214</v>
      </c>
      <c r="C82" s="59" t="s">
        <v>215</v>
      </c>
      <c r="D82" s="60">
        <v>6.0</v>
      </c>
      <c r="E82" s="59" t="str">
        <f t="shared" si="1"/>
        <v>Ajourné</v>
      </c>
      <c r="F82" s="8"/>
      <c r="G82" s="8"/>
      <c r="H82" s="8"/>
      <c r="I82" s="8"/>
      <c r="J82" s="8"/>
      <c r="K82" s="8"/>
      <c r="L82" s="8"/>
      <c r="M82" s="8"/>
      <c r="N82" s="8"/>
      <c r="O82" s="8"/>
      <c r="P82" s="8"/>
      <c r="Q82" s="8"/>
      <c r="R82" s="8"/>
      <c r="S82" s="8"/>
      <c r="T82" s="8"/>
      <c r="U82" s="8"/>
      <c r="V82" s="8"/>
      <c r="W82" s="8"/>
      <c r="X82" s="8"/>
      <c r="Y82" s="8"/>
      <c r="Z82" s="8"/>
    </row>
    <row r="83" ht="15.0" customHeight="1">
      <c r="A83" s="58">
        <v>3.7006475E7</v>
      </c>
      <c r="B83" s="59" t="s">
        <v>216</v>
      </c>
      <c r="C83" s="59" t="s">
        <v>217</v>
      </c>
      <c r="D83" s="60">
        <v>3.0</v>
      </c>
      <c r="E83" s="59" t="str">
        <f t="shared" si="1"/>
        <v>Ajourné</v>
      </c>
      <c r="F83" s="8"/>
      <c r="G83" s="8"/>
      <c r="H83" s="8"/>
      <c r="I83" s="8"/>
      <c r="J83" s="8"/>
      <c r="K83" s="8"/>
      <c r="L83" s="8"/>
      <c r="M83" s="8"/>
      <c r="N83" s="8"/>
      <c r="O83" s="8"/>
      <c r="P83" s="8"/>
      <c r="Q83" s="8"/>
      <c r="R83" s="8"/>
      <c r="S83" s="8"/>
      <c r="T83" s="8"/>
      <c r="U83" s="8"/>
      <c r="V83" s="8"/>
      <c r="W83" s="8"/>
      <c r="X83" s="8"/>
      <c r="Y83" s="8"/>
      <c r="Z83" s="8"/>
    </row>
    <row r="84" ht="15.0" customHeight="1">
      <c r="A84" s="58">
        <v>3.900153E7</v>
      </c>
      <c r="B84" s="59" t="s">
        <v>218</v>
      </c>
      <c r="C84" s="59" t="s">
        <v>200</v>
      </c>
      <c r="D84" s="60">
        <v>12.0</v>
      </c>
      <c r="E84" s="59" t="str">
        <f t="shared" si="1"/>
        <v>Admis</v>
      </c>
      <c r="F84" s="8"/>
      <c r="G84" s="8"/>
      <c r="H84" s="8"/>
      <c r="I84" s="8"/>
      <c r="J84" s="8"/>
      <c r="K84" s="8"/>
      <c r="L84" s="8"/>
      <c r="M84" s="8"/>
      <c r="N84" s="8"/>
      <c r="O84" s="8"/>
      <c r="P84" s="8"/>
      <c r="Q84" s="8"/>
      <c r="R84" s="8"/>
      <c r="S84" s="8"/>
      <c r="T84" s="8"/>
      <c r="U84" s="8"/>
      <c r="V84" s="8"/>
      <c r="W84" s="8"/>
      <c r="X84" s="8"/>
      <c r="Y84" s="8"/>
      <c r="Z84" s="8"/>
    </row>
    <row r="85" ht="15.0" customHeight="1">
      <c r="A85" s="58">
        <v>3.8004819E7</v>
      </c>
      <c r="B85" s="59" t="s">
        <v>219</v>
      </c>
      <c r="C85" s="59" t="s">
        <v>220</v>
      </c>
      <c r="D85" s="60">
        <v>20.0</v>
      </c>
      <c r="E85" s="59" t="str">
        <f t="shared" si="1"/>
        <v>Admis</v>
      </c>
      <c r="F85" s="8"/>
      <c r="G85" s="8"/>
      <c r="H85" s="8"/>
      <c r="I85" s="8"/>
      <c r="J85" s="8"/>
      <c r="K85" s="8"/>
      <c r="L85" s="8"/>
      <c r="M85" s="8"/>
      <c r="N85" s="8"/>
      <c r="O85" s="8"/>
      <c r="P85" s="8"/>
      <c r="Q85" s="8"/>
      <c r="R85" s="8"/>
      <c r="S85" s="8"/>
      <c r="T85" s="8"/>
      <c r="U85" s="8"/>
      <c r="V85" s="8"/>
      <c r="W85" s="8"/>
      <c r="X85" s="8"/>
      <c r="Y85" s="8"/>
      <c r="Z85" s="8"/>
    </row>
    <row r="86" ht="15.0" customHeight="1">
      <c r="A86" s="58">
        <v>3.9000631E7</v>
      </c>
      <c r="B86" s="59" t="s">
        <v>221</v>
      </c>
      <c r="C86" s="59" t="s">
        <v>156</v>
      </c>
      <c r="D86" s="60">
        <v>2.0</v>
      </c>
      <c r="E86" s="59" t="str">
        <f t="shared" si="1"/>
        <v>Ajourné</v>
      </c>
      <c r="F86" s="8"/>
      <c r="G86" s="8"/>
      <c r="H86" s="8"/>
      <c r="I86" s="8"/>
      <c r="J86" s="8"/>
      <c r="K86" s="8"/>
      <c r="L86" s="8"/>
      <c r="M86" s="8"/>
      <c r="N86" s="8"/>
      <c r="O86" s="8"/>
      <c r="P86" s="8"/>
      <c r="Q86" s="8"/>
      <c r="R86" s="8"/>
      <c r="S86" s="8"/>
      <c r="T86" s="8"/>
      <c r="U86" s="8"/>
      <c r="V86" s="8"/>
      <c r="W86" s="8"/>
      <c r="X86" s="8"/>
      <c r="Y86" s="8"/>
      <c r="Z86" s="8"/>
    </row>
    <row r="87" ht="15.0" customHeight="1">
      <c r="A87" s="58">
        <v>3.8001675E7</v>
      </c>
      <c r="B87" s="59" t="s">
        <v>222</v>
      </c>
      <c r="C87" s="59" t="s">
        <v>223</v>
      </c>
      <c r="D87" s="60">
        <v>18.0</v>
      </c>
      <c r="E87" s="59" t="str">
        <f t="shared" si="1"/>
        <v>Admis</v>
      </c>
      <c r="F87" s="8"/>
      <c r="G87" s="8"/>
      <c r="H87" s="8"/>
      <c r="I87" s="8"/>
      <c r="J87" s="8"/>
      <c r="K87" s="8"/>
      <c r="L87" s="8"/>
      <c r="M87" s="8"/>
      <c r="N87" s="8"/>
      <c r="O87" s="8"/>
      <c r="P87" s="8"/>
      <c r="Q87" s="8"/>
      <c r="R87" s="8"/>
      <c r="S87" s="8"/>
      <c r="T87" s="8"/>
      <c r="U87" s="8"/>
      <c r="V87" s="8"/>
      <c r="W87" s="8"/>
      <c r="X87" s="8"/>
      <c r="Y87" s="8"/>
      <c r="Z87" s="8"/>
    </row>
    <row r="88" ht="15.0" customHeight="1">
      <c r="A88" s="58">
        <v>3.9006476E7</v>
      </c>
      <c r="B88" s="59" t="s">
        <v>224</v>
      </c>
      <c r="C88" s="59" t="s">
        <v>225</v>
      </c>
      <c r="D88" s="60">
        <v>14.0</v>
      </c>
      <c r="E88" s="59" t="str">
        <f t="shared" si="1"/>
        <v>Admis</v>
      </c>
      <c r="F88" s="8"/>
      <c r="G88" s="8"/>
      <c r="H88" s="8"/>
      <c r="I88" s="8"/>
      <c r="J88" s="8"/>
      <c r="K88" s="8"/>
      <c r="L88" s="8"/>
      <c r="M88" s="8"/>
      <c r="N88" s="8"/>
      <c r="O88" s="8"/>
      <c r="P88" s="8"/>
      <c r="Q88" s="8"/>
      <c r="R88" s="8"/>
      <c r="S88" s="8"/>
      <c r="T88" s="8"/>
      <c r="U88" s="8"/>
      <c r="V88" s="8"/>
      <c r="W88" s="8"/>
      <c r="X88" s="8"/>
      <c r="Y88" s="8"/>
      <c r="Z88" s="8"/>
    </row>
    <row r="89" ht="15.0" customHeight="1">
      <c r="A89" s="58">
        <v>3.9006258E7</v>
      </c>
      <c r="B89" s="59" t="s">
        <v>226</v>
      </c>
      <c r="C89" s="59" t="s">
        <v>227</v>
      </c>
      <c r="D89" s="60">
        <v>6.0</v>
      </c>
      <c r="E89" s="59" t="str">
        <f t="shared" si="1"/>
        <v>Ajourné</v>
      </c>
      <c r="F89" s="8"/>
      <c r="G89" s="8"/>
      <c r="H89" s="8"/>
      <c r="I89" s="8"/>
      <c r="J89" s="8"/>
      <c r="K89" s="8"/>
      <c r="L89" s="8"/>
      <c r="M89" s="8"/>
      <c r="N89" s="8"/>
      <c r="O89" s="8"/>
      <c r="P89" s="8"/>
      <c r="Q89" s="8"/>
      <c r="R89" s="8"/>
      <c r="S89" s="8"/>
      <c r="T89" s="8"/>
      <c r="U89" s="8"/>
      <c r="V89" s="8"/>
      <c r="W89" s="8"/>
      <c r="X89" s="8"/>
      <c r="Y89" s="8"/>
      <c r="Z89" s="8"/>
    </row>
    <row r="90" ht="15.0" customHeight="1">
      <c r="A90" s="58">
        <v>3.500782E7</v>
      </c>
      <c r="B90" s="59" t="s">
        <v>156</v>
      </c>
      <c r="C90" s="59" t="s">
        <v>228</v>
      </c>
      <c r="D90" s="60">
        <v>5.0</v>
      </c>
      <c r="E90" s="59" t="str">
        <f t="shared" si="1"/>
        <v>Ajourné</v>
      </c>
      <c r="F90" s="8"/>
      <c r="G90" s="8"/>
      <c r="H90" s="8"/>
      <c r="I90" s="8"/>
      <c r="J90" s="8"/>
      <c r="K90" s="8"/>
      <c r="L90" s="8"/>
      <c r="M90" s="8"/>
      <c r="N90" s="8"/>
      <c r="O90" s="8"/>
      <c r="P90" s="8"/>
      <c r="Q90" s="8"/>
      <c r="R90" s="8"/>
      <c r="S90" s="8"/>
      <c r="T90" s="8"/>
      <c r="U90" s="8"/>
      <c r="V90" s="8"/>
      <c r="W90" s="8"/>
      <c r="X90" s="8"/>
      <c r="Y90" s="8"/>
      <c r="Z90" s="8"/>
    </row>
    <row r="91" ht="15.0" customHeight="1">
      <c r="A91" s="58">
        <v>3.9000846E7</v>
      </c>
      <c r="B91" s="59" t="s">
        <v>112</v>
      </c>
      <c r="C91" s="59" t="s">
        <v>229</v>
      </c>
      <c r="D91" s="60">
        <v>18.0</v>
      </c>
      <c r="E91" s="59" t="str">
        <f t="shared" si="1"/>
        <v>Admis</v>
      </c>
      <c r="F91" s="8"/>
      <c r="G91" s="8"/>
      <c r="H91" s="8"/>
      <c r="I91" s="8"/>
      <c r="J91" s="8"/>
      <c r="K91" s="8"/>
      <c r="L91" s="8"/>
      <c r="M91" s="8"/>
      <c r="N91" s="8"/>
      <c r="O91" s="8"/>
      <c r="P91" s="8"/>
      <c r="Q91" s="8"/>
      <c r="R91" s="8"/>
      <c r="S91" s="8"/>
      <c r="T91" s="8"/>
      <c r="U91" s="8"/>
      <c r="V91" s="8"/>
      <c r="W91" s="8"/>
      <c r="X91" s="8"/>
      <c r="Y91" s="8"/>
      <c r="Z91" s="8"/>
    </row>
    <row r="92" ht="15.0" customHeight="1">
      <c r="A92" s="58">
        <v>3.800765E7</v>
      </c>
      <c r="B92" s="59" t="s">
        <v>230</v>
      </c>
      <c r="C92" s="59" t="s">
        <v>231</v>
      </c>
      <c r="D92" s="60">
        <v>12.0</v>
      </c>
      <c r="E92" s="59" t="str">
        <f t="shared" si="1"/>
        <v>Admis</v>
      </c>
      <c r="F92" s="8"/>
      <c r="G92" s="8"/>
      <c r="H92" s="8"/>
      <c r="I92" s="8"/>
      <c r="J92" s="8"/>
      <c r="K92" s="8"/>
      <c r="L92" s="8"/>
      <c r="M92" s="8"/>
      <c r="N92" s="8"/>
      <c r="O92" s="8"/>
      <c r="P92" s="8"/>
      <c r="Q92" s="8"/>
      <c r="R92" s="8"/>
      <c r="S92" s="8"/>
      <c r="T92" s="8"/>
      <c r="U92" s="8"/>
      <c r="V92" s="8"/>
      <c r="W92" s="8"/>
      <c r="X92" s="8"/>
      <c r="Y92" s="8"/>
      <c r="Z92" s="8"/>
    </row>
    <row r="93" ht="15.0" customHeight="1">
      <c r="A93" s="58">
        <v>3.8003047E7</v>
      </c>
      <c r="B93" s="59" t="s">
        <v>232</v>
      </c>
      <c r="C93" s="59" t="s">
        <v>233</v>
      </c>
      <c r="D93" s="60">
        <v>2.0</v>
      </c>
      <c r="E93" s="59" t="str">
        <f t="shared" si="1"/>
        <v>Ajourné</v>
      </c>
      <c r="F93" s="8"/>
      <c r="G93" s="8"/>
      <c r="H93" s="8"/>
      <c r="I93" s="8"/>
      <c r="J93" s="8"/>
      <c r="K93" s="8"/>
      <c r="L93" s="8"/>
      <c r="M93" s="8"/>
      <c r="N93" s="8"/>
      <c r="O93" s="8"/>
      <c r="P93" s="8"/>
      <c r="Q93" s="8"/>
      <c r="R93" s="8"/>
      <c r="S93" s="8"/>
      <c r="T93" s="8"/>
      <c r="U93" s="8"/>
      <c r="V93" s="8"/>
      <c r="W93" s="8"/>
      <c r="X93" s="8"/>
      <c r="Y93" s="8"/>
      <c r="Z93" s="8"/>
    </row>
    <row r="94" ht="15.0" customHeight="1">
      <c r="A94" s="58">
        <v>3.9007349E7</v>
      </c>
      <c r="B94" s="59" t="s">
        <v>234</v>
      </c>
      <c r="C94" s="59" t="s">
        <v>235</v>
      </c>
      <c r="D94" s="60">
        <v>2.0</v>
      </c>
      <c r="E94" s="59" t="str">
        <f t="shared" si="1"/>
        <v>Ajourné</v>
      </c>
      <c r="F94" s="8"/>
      <c r="G94" s="8"/>
      <c r="H94" s="8"/>
      <c r="I94" s="8"/>
      <c r="J94" s="8"/>
      <c r="K94" s="8"/>
      <c r="L94" s="8"/>
      <c r="M94" s="8"/>
      <c r="N94" s="8"/>
      <c r="O94" s="8"/>
      <c r="P94" s="8"/>
      <c r="Q94" s="8"/>
      <c r="R94" s="8"/>
      <c r="S94" s="8"/>
      <c r="T94" s="8"/>
      <c r="U94" s="8"/>
      <c r="V94" s="8"/>
      <c r="W94" s="8"/>
      <c r="X94" s="8"/>
      <c r="Y94" s="8"/>
      <c r="Z94" s="8"/>
    </row>
    <row r="95" ht="15.0" customHeight="1">
      <c r="A95" s="58">
        <v>3.8002316E7</v>
      </c>
      <c r="B95" s="59" t="s">
        <v>236</v>
      </c>
      <c r="C95" s="59" t="s">
        <v>237</v>
      </c>
      <c r="D95" s="60">
        <v>15.0</v>
      </c>
      <c r="E95" s="59" t="str">
        <f t="shared" si="1"/>
        <v>Admis</v>
      </c>
      <c r="F95" s="8"/>
      <c r="G95" s="8"/>
      <c r="H95" s="8"/>
      <c r="I95" s="8"/>
      <c r="J95" s="8"/>
      <c r="K95" s="8"/>
      <c r="L95" s="8"/>
      <c r="M95" s="8"/>
      <c r="N95" s="8"/>
      <c r="O95" s="8"/>
      <c r="P95" s="8"/>
      <c r="Q95" s="8"/>
      <c r="R95" s="8"/>
      <c r="S95" s="8"/>
      <c r="T95" s="8"/>
      <c r="U95" s="8"/>
      <c r="V95" s="8"/>
      <c r="W95" s="8"/>
      <c r="X95" s="8"/>
      <c r="Y95" s="8"/>
      <c r="Z95" s="8"/>
    </row>
    <row r="96" ht="15.0" customHeight="1">
      <c r="A96" s="58">
        <v>3.9004474E7</v>
      </c>
      <c r="B96" s="59" t="s">
        <v>238</v>
      </c>
      <c r="C96" s="59" t="s">
        <v>239</v>
      </c>
      <c r="D96" s="60">
        <v>8.0</v>
      </c>
      <c r="E96" s="59" t="str">
        <f t="shared" si="1"/>
        <v>Ajourné</v>
      </c>
      <c r="F96" s="8"/>
      <c r="G96" s="8"/>
      <c r="H96" s="8"/>
      <c r="I96" s="8"/>
      <c r="J96" s="8"/>
      <c r="K96" s="8"/>
      <c r="L96" s="8"/>
      <c r="M96" s="8"/>
      <c r="N96" s="8"/>
      <c r="O96" s="8"/>
      <c r="P96" s="8"/>
      <c r="Q96" s="8"/>
      <c r="R96" s="8"/>
      <c r="S96" s="8"/>
      <c r="T96" s="8"/>
      <c r="U96" s="8"/>
      <c r="V96" s="8"/>
      <c r="W96" s="8"/>
      <c r="X96" s="8"/>
      <c r="Y96" s="8"/>
      <c r="Z96" s="8"/>
    </row>
    <row r="97" ht="15.0" customHeight="1">
      <c r="A97" s="58">
        <v>3.9000041E7</v>
      </c>
      <c r="B97" s="59" t="s">
        <v>240</v>
      </c>
      <c r="C97" s="59" t="s">
        <v>241</v>
      </c>
      <c r="D97" s="60">
        <v>3.0</v>
      </c>
      <c r="E97" s="59" t="str">
        <f t="shared" si="1"/>
        <v>Ajourné</v>
      </c>
      <c r="F97" s="8"/>
      <c r="G97" s="8"/>
      <c r="H97" s="8"/>
      <c r="I97" s="8"/>
      <c r="J97" s="8"/>
      <c r="K97" s="8"/>
      <c r="L97" s="8"/>
      <c r="M97" s="8"/>
      <c r="N97" s="8"/>
      <c r="O97" s="8"/>
      <c r="P97" s="8"/>
      <c r="Q97" s="8"/>
      <c r="R97" s="8"/>
      <c r="S97" s="8"/>
      <c r="T97" s="8"/>
      <c r="U97" s="8"/>
      <c r="V97" s="8"/>
      <c r="W97" s="8"/>
      <c r="X97" s="8"/>
      <c r="Y97" s="8"/>
      <c r="Z97" s="8"/>
    </row>
    <row r="98" ht="15.0" customHeight="1">
      <c r="A98" s="58">
        <v>4.0004827E7</v>
      </c>
      <c r="B98" s="59" t="s">
        <v>242</v>
      </c>
      <c r="C98" s="59" t="s">
        <v>243</v>
      </c>
      <c r="D98" s="60">
        <v>12.0</v>
      </c>
      <c r="E98" s="59" t="str">
        <f t="shared" si="1"/>
        <v>Admis</v>
      </c>
      <c r="F98" s="8"/>
      <c r="G98" s="8"/>
      <c r="H98" s="8"/>
      <c r="I98" s="8"/>
      <c r="J98" s="8"/>
      <c r="K98" s="8"/>
      <c r="L98" s="8"/>
      <c r="M98" s="8"/>
      <c r="N98" s="8"/>
      <c r="O98" s="8"/>
      <c r="P98" s="8"/>
      <c r="Q98" s="8"/>
      <c r="R98" s="8"/>
      <c r="S98" s="8"/>
      <c r="T98" s="8"/>
      <c r="U98" s="8"/>
      <c r="V98" s="8"/>
      <c r="W98" s="8"/>
      <c r="X98" s="8"/>
      <c r="Y98" s="8"/>
      <c r="Z98" s="8"/>
    </row>
    <row r="99" ht="15.0" customHeight="1">
      <c r="A99" s="58">
        <v>4.0008852E7</v>
      </c>
      <c r="B99" s="59" t="s">
        <v>244</v>
      </c>
      <c r="C99" s="59" t="s">
        <v>245</v>
      </c>
      <c r="D99" s="60">
        <v>20.0</v>
      </c>
      <c r="E99" s="59" t="str">
        <f t="shared" si="1"/>
        <v>Admis</v>
      </c>
      <c r="F99" s="8"/>
      <c r="G99" s="8"/>
      <c r="H99" s="8"/>
      <c r="I99" s="8"/>
      <c r="J99" s="8"/>
      <c r="K99" s="8"/>
      <c r="L99" s="8"/>
      <c r="M99" s="8"/>
      <c r="N99" s="8"/>
      <c r="O99" s="8"/>
      <c r="P99" s="8"/>
      <c r="Q99" s="8"/>
      <c r="R99" s="8"/>
      <c r="S99" s="8"/>
      <c r="T99" s="8"/>
      <c r="U99" s="8"/>
      <c r="V99" s="8"/>
      <c r="W99" s="8"/>
      <c r="X99" s="8"/>
      <c r="Y99" s="8"/>
      <c r="Z99" s="8"/>
    </row>
    <row r="100" ht="15.0" customHeight="1">
      <c r="A100" s="58">
        <v>4.000771E7</v>
      </c>
      <c r="B100" s="59" t="s">
        <v>246</v>
      </c>
      <c r="C100" s="59" t="s">
        <v>247</v>
      </c>
      <c r="D100" s="60">
        <v>8.0</v>
      </c>
      <c r="E100" s="59" t="str">
        <f t="shared" si="1"/>
        <v>Ajourné</v>
      </c>
      <c r="F100" s="8"/>
      <c r="G100" s="8"/>
      <c r="H100" s="8"/>
      <c r="I100" s="8"/>
      <c r="J100" s="8"/>
      <c r="K100" s="8"/>
      <c r="L100" s="8"/>
      <c r="M100" s="8"/>
      <c r="N100" s="8"/>
      <c r="O100" s="8"/>
      <c r="P100" s="8"/>
      <c r="Q100" s="8"/>
      <c r="R100" s="8"/>
      <c r="S100" s="8"/>
      <c r="T100" s="8"/>
      <c r="U100" s="8"/>
      <c r="V100" s="8"/>
      <c r="W100" s="8"/>
      <c r="X100" s="8"/>
      <c r="Y100" s="8"/>
      <c r="Z100" s="8"/>
    </row>
    <row r="101" ht="15.0" customHeight="1">
      <c r="A101" s="58">
        <v>3.8002846E7</v>
      </c>
      <c r="B101" s="59" t="s">
        <v>248</v>
      </c>
      <c r="C101" s="59" t="s">
        <v>227</v>
      </c>
      <c r="D101" s="60">
        <v>16.0</v>
      </c>
      <c r="E101" s="59" t="str">
        <f t="shared" si="1"/>
        <v>Admis</v>
      </c>
      <c r="F101" s="8"/>
      <c r="G101" s="8"/>
      <c r="H101" s="8"/>
      <c r="I101" s="8"/>
      <c r="J101" s="8"/>
      <c r="K101" s="8"/>
      <c r="L101" s="8"/>
      <c r="M101" s="8"/>
      <c r="N101" s="8"/>
      <c r="O101" s="8"/>
      <c r="P101" s="8"/>
      <c r="Q101" s="8"/>
      <c r="R101" s="8"/>
      <c r="S101" s="8"/>
      <c r="T101" s="8"/>
      <c r="U101" s="8"/>
      <c r="V101" s="8"/>
      <c r="W101" s="8"/>
      <c r="X101" s="8"/>
      <c r="Y101" s="8"/>
      <c r="Z101" s="8"/>
    </row>
    <row r="102" ht="15.0" customHeight="1">
      <c r="A102" s="58">
        <v>4.0004489E7</v>
      </c>
      <c r="B102" s="59" t="s">
        <v>249</v>
      </c>
      <c r="C102" s="59" t="s">
        <v>250</v>
      </c>
      <c r="D102" s="60">
        <v>1.0</v>
      </c>
      <c r="E102" s="59" t="str">
        <f t="shared" si="1"/>
        <v>Ajourné</v>
      </c>
      <c r="F102" s="8"/>
      <c r="G102" s="8"/>
      <c r="H102" s="8"/>
      <c r="I102" s="8"/>
      <c r="J102" s="8"/>
      <c r="K102" s="8"/>
      <c r="L102" s="8"/>
      <c r="M102" s="8"/>
      <c r="N102" s="8"/>
      <c r="O102" s="8"/>
      <c r="P102" s="8"/>
      <c r="Q102" s="8"/>
      <c r="R102" s="8"/>
      <c r="S102" s="8"/>
      <c r="T102" s="8"/>
      <c r="U102" s="8"/>
      <c r="V102" s="8"/>
      <c r="W102" s="8"/>
      <c r="X102" s="8"/>
      <c r="Y102" s="8"/>
      <c r="Z102" s="8"/>
    </row>
    <row r="103" ht="15.0" customHeight="1">
      <c r="A103" s="58">
        <v>4.0006309E7</v>
      </c>
      <c r="B103" s="59" t="s">
        <v>83</v>
      </c>
      <c r="C103" s="59" t="s">
        <v>80</v>
      </c>
      <c r="D103" s="60">
        <v>7.0</v>
      </c>
      <c r="E103" s="59" t="str">
        <f t="shared" si="1"/>
        <v>Ajourné</v>
      </c>
      <c r="F103" s="8"/>
      <c r="G103" s="8"/>
      <c r="H103" s="8"/>
      <c r="I103" s="8"/>
      <c r="J103" s="8"/>
      <c r="K103" s="8"/>
      <c r="L103" s="8"/>
      <c r="M103" s="8"/>
      <c r="N103" s="8"/>
      <c r="O103" s="8"/>
      <c r="P103" s="8"/>
      <c r="Q103" s="8"/>
      <c r="R103" s="8"/>
      <c r="S103" s="8"/>
      <c r="T103" s="8"/>
      <c r="U103" s="8"/>
      <c r="V103" s="8"/>
      <c r="W103" s="8"/>
      <c r="X103" s="8"/>
      <c r="Y103" s="8"/>
      <c r="Z103" s="8"/>
    </row>
    <row r="104" ht="15.0" customHeight="1">
      <c r="A104" s="58">
        <v>3.9005082E7</v>
      </c>
      <c r="B104" s="59" t="s">
        <v>251</v>
      </c>
      <c r="C104" s="59" t="s">
        <v>185</v>
      </c>
      <c r="D104" s="60">
        <v>16.0</v>
      </c>
      <c r="E104" s="59" t="str">
        <f t="shared" si="1"/>
        <v>Admis</v>
      </c>
      <c r="F104" s="8"/>
      <c r="G104" s="8"/>
      <c r="H104" s="8"/>
      <c r="I104" s="8"/>
      <c r="J104" s="8"/>
      <c r="K104" s="8"/>
      <c r="L104" s="8"/>
      <c r="M104" s="8"/>
      <c r="N104" s="8"/>
      <c r="O104" s="8"/>
      <c r="P104" s="8"/>
      <c r="Q104" s="8"/>
      <c r="R104" s="8"/>
      <c r="S104" s="8"/>
      <c r="T104" s="8"/>
      <c r="U104" s="8"/>
      <c r="V104" s="8"/>
      <c r="W104" s="8"/>
      <c r="X104" s="8"/>
      <c r="Y104" s="8"/>
      <c r="Z104" s="8"/>
    </row>
    <row r="105" ht="15.0" customHeight="1">
      <c r="A105" s="58">
        <v>4.0008383E7</v>
      </c>
      <c r="B105" s="59" t="s">
        <v>226</v>
      </c>
      <c r="C105" s="59" t="s">
        <v>252</v>
      </c>
      <c r="D105" s="60">
        <v>14.0</v>
      </c>
      <c r="E105" s="59" t="str">
        <f t="shared" si="1"/>
        <v>Admis</v>
      </c>
      <c r="F105" s="8"/>
      <c r="G105" s="8"/>
      <c r="H105" s="8"/>
      <c r="I105" s="8"/>
      <c r="J105" s="8"/>
      <c r="K105" s="8"/>
      <c r="L105" s="8"/>
      <c r="M105" s="8"/>
      <c r="N105" s="8"/>
      <c r="O105" s="8"/>
      <c r="P105" s="8"/>
      <c r="Q105" s="8"/>
      <c r="R105" s="8"/>
      <c r="S105" s="8"/>
      <c r="T105" s="8"/>
      <c r="U105" s="8"/>
      <c r="V105" s="8"/>
      <c r="W105" s="8"/>
      <c r="X105" s="8"/>
      <c r="Y105" s="8"/>
      <c r="Z105" s="8"/>
    </row>
    <row r="106" ht="15.0" customHeight="1">
      <c r="A106" s="58">
        <v>3.9007651E7</v>
      </c>
      <c r="B106" s="59" t="s">
        <v>71</v>
      </c>
      <c r="C106" s="59" t="s">
        <v>253</v>
      </c>
      <c r="D106" s="60">
        <v>3.0</v>
      </c>
      <c r="E106" s="59" t="str">
        <f t="shared" si="1"/>
        <v>Ajourné</v>
      </c>
      <c r="F106" s="8"/>
      <c r="G106" s="8"/>
      <c r="H106" s="8"/>
      <c r="I106" s="8"/>
      <c r="J106" s="8"/>
      <c r="K106" s="8"/>
      <c r="L106" s="8"/>
      <c r="M106" s="8"/>
      <c r="N106" s="8"/>
      <c r="O106" s="8"/>
      <c r="P106" s="8"/>
      <c r="Q106" s="8"/>
      <c r="R106" s="8"/>
      <c r="S106" s="8"/>
      <c r="T106" s="8"/>
      <c r="U106" s="8"/>
      <c r="V106" s="8"/>
      <c r="W106" s="8"/>
      <c r="X106" s="8"/>
      <c r="Y106" s="8"/>
      <c r="Z106" s="8"/>
    </row>
    <row r="107" ht="15.0" customHeight="1">
      <c r="A107" s="58">
        <v>3.9006361E7</v>
      </c>
      <c r="B107" s="59" t="s">
        <v>254</v>
      </c>
      <c r="C107" s="59" t="s">
        <v>223</v>
      </c>
      <c r="D107" s="60">
        <v>4.0</v>
      </c>
      <c r="E107" s="59" t="str">
        <f t="shared" si="1"/>
        <v>Ajourné</v>
      </c>
      <c r="F107" s="8"/>
      <c r="G107" s="8"/>
      <c r="H107" s="8"/>
      <c r="I107" s="8"/>
      <c r="J107" s="8"/>
      <c r="K107" s="8"/>
      <c r="L107" s="8"/>
      <c r="M107" s="8"/>
      <c r="N107" s="8"/>
      <c r="O107" s="8"/>
      <c r="P107" s="8"/>
      <c r="Q107" s="8"/>
      <c r="R107" s="8"/>
      <c r="S107" s="8"/>
      <c r="T107" s="8"/>
      <c r="U107" s="8"/>
      <c r="V107" s="8"/>
      <c r="W107" s="8"/>
      <c r="X107" s="8"/>
      <c r="Y107" s="8"/>
      <c r="Z107" s="8"/>
    </row>
    <row r="108" ht="15.0" customHeight="1">
      <c r="A108" s="58">
        <v>4.0008659E7</v>
      </c>
      <c r="B108" s="59" t="s">
        <v>71</v>
      </c>
      <c r="C108" s="59" t="s">
        <v>255</v>
      </c>
      <c r="D108" s="60">
        <v>16.0</v>
      </c>
      <c r="E108" s="59" t="str">
        <f t="shared" si="1"/>
        <v>Admis</v>
      </c>
      <c r="F108" s="8"/>
      <c r="G108" s="8"/>
      <c r="H108" s="8"/>
      <c r="I108" s="8"/>
      <c r="J108" s="8"/>
      <c r="K108" s="8"/>
      <c r="L108" s="8"/>
      <c r="M108" s="8"/>
      <c r="N108" s="8"/>
      <c r="O108" s="8"/>
      <c r="P108" s="8"/>
      <c r="Q108" s="8"/>
      <c r="R108" s="8"/>
      <c r="S108" s="8"/>
      <c r="T108" s="8"/>
      <c r="U108" s="8"/>
      <c r="V108" s="8"/>
      <c r="W108" s="8"/>
      <c r="X108" s="8"/>
      <c r="Y108" s="8"/>
      <c r="Z108" s="8"/>
    </row>
    <row r="109" ht="15.0" customHeight="1">
      <c r="A109" s="58">
        <v>3.700421E7</v>
      </c>
      <c r="B109" s="59" t="s">
        <v>256</v>
      </c>
      <c r="C109" s="59" t="s">
        <v>257</v>
      </c>
      <c r="D109" s="60">
        <v>14.0</v>
      </c>
      <c r="E109" s="59" t="str">
        <f t="shared" si="1"/>
        <v>Admis</v>
      </c>
      <c r="F109" s="8"/>
      <c r="G109" s="8"/>
      <c r="H109" s="8"/>
      <c r="I109" s="8"/>
      <c r="J109" s="8"/>
      <c r="K109" s="8"/>
      <c r="L109" s="8"/>
      <c r="M109" s="8"/>
      <c r="N109" s="8"/>
      <c r="O109" s="8"/>
      <c r="P109" s="8"/>
      <c r="Q109" s="8"/>
      <c r="R109" s="8"/>
      <c r="S109" s="8"/>
      <c r="T109" s="8"/>
      <c r="U109" s="8"/>
      <c r="V109" s="8"/>
      <c r="W109" s="8"/>
      <c r="X109" s="8"/>
      <c r="Y109" s="8"/>
      <c r="Z109" s="8"/>
    </row>
    <row r="110" ht="15.0" customHeight="1">
      <c r="A110" s="58">
        <v>3.8005103E7</v>
      </c>
      <c r="B110" s="59" t="s">
        <v>258</v>
      </c>
      <c r="C110" s="59" t="s">
        <v>259</v>
      </c>
      <c r="D110" s="60">
        <v>15.0</v>
      </c>
      <c r="E110" s="59" t="str">
        <f t="shared" si="1"/>
        <v>Admis</v>
      </c>
      <c r="F110" s="8"/>
      <c r="G110" s="8"/>
      <c r="H110" s="8"/>
      <c r="I110" s="8"/>
      <c r="J110" s="8"/>
      <c r="K110" s="8"/>
      <c r="L110" s="8"/>
      <c r="M110" s="8"/>
      <c r="N110" s="8"/>
      <c r="O110" s="8"/>
      <c r="P110" s="8"/>
      <c r="Q110" s="8"/>
      <c r="R110" s="8"/>
      <c r="S110" s="8"/>
      <c r="T110" s="8"/>
      <c r="U110" s="8"/>
      <c r="V110" s="8"/>
      <c r="W110" s="8"/>
      <c r="X110" s="8"/>
      <c r="Y110" s="8"/>
      <c r="Z110" s="8"/>
    </row>
    <row r="111" ht="15.0" customHeight="1">
      <c r="A111" s="58">
        <v>3.8005004E7</v>
      </c>
      <c r="B111" s="59" t="s">
        <v>260</v>
      </c>
      <c r="C111" s="59" t="s">
        <v>261</v>
      </c>
      <c r="D111" s="60">
        <v>6.0</v>
      </c>
      <c r="E111" s="59" t="str">
        <f t="shared" si="1"/>
        <v>Ajourné</v>
      </c>
      <c r="F111" s="8"/>
      <c r="G111" s="8"/>
      <c r="H111" s="8"/>
      <c r="I111" s="8"/>
      <c r="J111" s="8"/>
      <c r="K111" s="8"/>
      <c r="L111" s="8"/>
      <c r="M111" s="8"/>
      <c r="N111" s="8"/>
      <c r="O111" s="8"/>
      <c r="P111" s="8"/>
      <c r="Q111" s="8"/>
      <c r="R111" s="8"/>
      <c r="S111" s="8"/>
      <c r="T111" s="8"/>
      <c r="U111" s="8"/>
      <c r="V111" s="8"/>
      <c r="W111" s="8"/>
      <c r="X111" s="8"/>
      <c r="Y111" s="8"/>
      <c r="Z111" s="8"/>
    </row>
    <row r="112" ht="15.0" customHeight="1">
      <c r="A112" s="58">
        <v>3.8003516E7</v>
      </c>
      <c r="B112" s="59" t="s">
        <v>262</v>
      </c>
      <c r="C112" s="59" t="s">
        <v>263</v>
      </c>
      <c r="D112" s="60">
        <v>2.0</v>
      </c>
      <c r="E112" s="59" t="str">
        <f t="shared" si="1"/>
        <v>Ajourné</v>
      </c>
      <c r="F112" s="8"/>
      <c r="G112" s="8"/>
      <c r="H112" s="8"/>
      <c r="I112" s="8"/>
      <c r="J112" s="8"/>
      <c r="K112" s="8"/>
      <c r="L112" s="8"/>
      <c r="M112" s="8"/>
      <c r="N112" s="8"/>
      <c r="O112" s="8"/>
      <c r="P112" s="8"/>
      <c r="Q112" s="8"/>
      <c r="R112" s="8"/>
      <c r="S112" s="8"/>
      <c r="T112" s="8"/>
      <c r="U112" s="8"/>
      <c r="V112" s="8"/>
      <c r="W112" s="8"/>
      <c r="X112" s="8"/>
      <c r="Y112" s="8"/>
      <c r="Z112" s="8"/>
    </row>
    <row r="113" ht="15.0" customHeight="1">
      <c r="A113" s="58">
        <v>3.9006897E7</v>
      </c>
      <c r="B113" s="59" t="s">
        <v>264</v>
      </c>
      <c r="C113" s="59" t="s">
        <v>265</v>
      </c>
      <c r="D113" s="60">
        <v>3.0</v>
      </c>
      <c r="E113" s="59" t="str">
        <f t="shared" si="1"/>
        <v>Ajourné</v>
      </c>
      <c r="F113" s="8"/>
      <c r="G113" s="8"/>
      <c r="H113" s="8"/>
      <c r="I113" s="8"/>
      <c r="J113" s="8"/>
      <c r="K113" s="8"/>
      <c r="L113" s="8"/>
      <c r="M113" s="8"/>
      <c r="N113" s="8"/>
      <c r="O113" s="8"/>
      <c r="P113" s="8"/>
      <c r="Q113" s="8"/>
      <c r="R113" s="8"/>
      <c r="S113" s="8"/>
      <c r="T113" s="8"/>
      <c r="U113" s="8"/>
      <c r="V113" s="8"/>
      <c r="W113" s="8"/>
      <c r="X113" s="8"/>
      <c r="Y113" s="8"/>
      <c r="Z113" s="8"/>
    </row>
    <row r="114" ht="15.0" customHeight="1">
      <c r="A114" s="58">
        <v>3.9003743E7</v>
      </c>
      <c r="B114" s="59" t="s">
        <v>266</v>
      </c>
      <c r="C114" s="59" t="s">
        <v>267</v>
      </c>
      <c r="D114" s="60">
        <v>3.0</v>
      </c>
      <c r="E114" s="59" t="str">
        <f t="shared" si="1"/>
        <v>Ajourné</v>
      </c>
      <c r="F114" s="8"/>
      <c r="G114" s="8"/>
      <c r="H114" s="8"/>
      <c r="I114" s="8"/>
      <c r="J114" s="8"/>
      <c r="K114" s="8"/>
      <c r="L114" s="8"/>
      <c r="M114" s="8"/>
      <c r="N114" s="8"/>
      <c r="O114" s="8"/>
      <c r="P114" s="8"/>
      <c r="Q114" s="8"/>
      <c r="R114" s="8"/>
      <c r="S114" s="8"/>
      <c r="T114" s="8"/>
      <c r="U114" s="8"/>
      <c r="V114" s="8"/>
      <c r="W114" s="8"/>
      <c r="X114" s="8"/>
      <c r="Y114" s="8"/>
      <c r="Z114" s="8"/>
    </row>
    <row r="115" ht="15.0" customHeight="1">
      <c r="A115" s="58">
        <v>3.9002569E7</v>
      </c>
      <c r="B115" s="59" t="s">
        <v>268</v>
      </c>
      <c r="C115" s="59" t="s">
        <v>269</v>
      </c>
      <c r="D115" s="60">
        <v>7.0</v>
      </c>
      <c r="E115" s="59" t="str">
        <f t="shared" si="1"/>
        <v>Ajourné</v>
      </c>
      <c r="F115" s="8"/>
      <c r="G115" s="8"/>
      <c r="H115" s="8"/>
      <c r="I115" s="8"/>
      <c r="J115" s="8"/>
      <c r="K115" s="8"/>
      <c r="L115" s="8"/>
      <c r="M115" s="8"/>
      <c r="N115" s="8"/>
      <c r="O115" s="8"/>
      <c r="P115" s="8"/>
      <c r="Q115" s="8"/>
      <c r="R115" s="8"/>
      <c r="S115" s="8"/>
      <c r="T115" s="8"/>
      <c r="U115" s="8"/>
      <c r="V115" s="8"/>
      <c r="W115" s="8"/>
      <c r="X115" s="8"/>
      <c r="Y115" s="8"/>
      <c r="Z115" s="8"/>
    </row>
    <row r="116" ht="15.0" customHeight="1">
      <c r="A116" s="58">
        <v>3.7006667E7</v>
      </c>
      <c r="B116" s="59" t="s">
        <v>270</v>
      </c>
      <c r="C116" s="59" t="s">
        <v>271</v>
      </c>
      <c r="D116" s="60">
        <v>17.0</v>
      </c>
      <c r="E116" s="59" t="str">
        <f t="shared" si="1"/>
        <v>Admis</v>
      </c>
      <c r="F116" s="8"/>
      <c r="G116" s="8"/>
      <c r="H116" s="8"/>
      <c r="I116" s="8"/>
      <c r="J116" s="8"/>
      <c r="K116" s="8"/>
      <c r="L116" s="8"/>
      <c r="M116" s="8"/>
      <c r="N116" s="8"/>
      <c r="O116" s="8"/>
      <c r="P116" s="8"/>
      <c r="Q116" s="8"/>
      <c r="R116" s="8"/>
      <c r="S116" s="8"/>
      <c r="T116" s="8"/>
      <c r="U116" s="8"/>
      <c r="V116" s="8"/>
      <c r="W116" s="8"/>
      <c r="X116" s="8"/>
      <c r="Y116" s="8"/>
      <c r="Z116" s="8"/>
    </row>
    <row r="117" ht="15.0" customHeight="1">
      <c r="A117" s="58">
        <v>3.8000817E7</v>
      </c>
      <c r="B117" s="59" t="s">
        <v>272</v>
      </c>
      <c r="C117" s="59" t="s">
        <v>273</v>
      </c>
      <c r="D117" s="60">
        <v>20.0</v>
      </c>
      <c r="E117" s="59" t="str">
        <f t="shared" si="1"/>
        <v>Admis</v>
      </c>
      <c r="F117" s="8"/>
      <c r="G117" s="8"/>
      <c r="H117" s="8"/>
      <c r="I117" s="8"/>
      <c r="J117" s="8"/>
      <c r="K117" s="8"/>
      <c r="L117" s="8"/>
      <c r="M117" s="8"/>
      <c r="N117" s="8"/>
      <c r="O117" s="8"/>
      <c r="P117" s="8"/>
      <c r="Q117" s="8"/>
      <c r="R117" s="8"/>
      <c r="S117" s="8"/>
      <c r="T117" s="8"/>
      <c r="U117" s="8"/>
      <c r="V117" s="8"/>
      <c r="W117" s="8"/>
      <c r="X117" s="8"/>
      <c r="Y117" s="8"/>
      <c r="Z117" s="8"/>
    </row>
    <row r="118" ht="15.0" customHeight="1">
      <c r="A118" s="58">
        <v>3.2003606E7</v>
      </c>
      <c r="B118" s="59" t="s">
        <v>274</v>
      </c>
      <c r="C118" s="59" t="s">
        <v>275</v>
      </c>
      <c r="D118" s="60">
        <v>16.0</v>
      </c>
      <c r="E118" s="59" t="str">
        <f t="shared" si="1"/>
        <v>Admis</v>
      </c>
      <c r="F118" s="8"/>
      <c r="G118" s="8"/>
      <c r="H118" s="8"/>
      <c r="I118" s="8"/>
      <c r="J118" s="8"/>
      <c r="K118" s="8"/>
      <c r="L118" s="8"/>
      <c r="M118" s="8"/>
      <c r="N118" s="8"/>
      <c r="O118" s="8"/>
      <c r="P118" s="8"/>
      <c r="Q118" s="8"/>
      <c r="R118" s="8"/>
      <c r="S118" s="8"/>
      <c r="T118" s="8"/>
      <c r="U118" s="8"/>
      <c r="V118" s="8"/>
      <c r="W118" s="8"/>
      <c r="X118" s="8"/>
      <c r="Y118" s="8"/>
      <c r="Z118" s="8"/>
    </row>
    <row r="119" ht="15.0" customHeight="1">
      <c r="A119" s="58">
        <v>3.9006027E7</v>
      </c>
      <c r="B119" s="59" t="s">
        <v>276</v>
      </c>
      <c r="C119" s="59" t="s">
        <v>277</v>
      </c>
      <c r="D119" s="60">
        <v>19.0</v>
      </c>
      <c r="E119" s="59" t="str">
        <f t="shared" si="1"/>
        <v>Admis</v>
      </c>
      <c r="F119" s="8"/>
      <c r="G119" s="8"/>
      <c r="H119" s="8"/>
      <c r="I119" s="8"/>
      <c r="J119" s="8"/>
      <c r="K119" s="8"/>
      <c r="L119" s="8"/>
      <c r="M119" s="8"/>
      <c r="N119" s="8"/>
      <c r="O119" s="8"/>
      <c r="P119" s="8"/>
      <c r="Q119" s="8"/>
      <c r="R119" s="8"/>
      <c r="S119" s="8"/>
      <c r="T119" s="8"/>
      <c r="U119" s="8"/>
      <c r="V119" s="8"/>
      <c r="W119" s="8"/>
      <c r="X119" s="8"/>
      <c r="Y119" s="8"/>
      <c r="Z119" s="8"/>
    </row>
    <row r="120" ht="15.0" customHeight="1">
      <c r="A120" s="58">
        <v>3.9001137E7</v>
      </c>
      <c r="B120" s="59" t="s">
        <v>278</v>
      </c>
      <c r="C120" s="59" t="s">
        <v>279</v>
      </c>
      <c r="D120" s="60">
        <v>14.0</v>
      </c>
      <c r="E120" s="59" t="str">
        <f t="shared" si="1"/>
        <v>Admis</v>
      </c>
      <c r="F120" s="8"/>
      <c r="G120" s="8"/>
      <c r="H120" s="8"/>
      <c r="I120" s="8"/>
      <c r="J120" s="8"/>
      <c r="K120" s="8"/>
      <c r="L120" s="8"/>
      <c r="M120" s="8"/>
      <c r="N120" s="8"/>
      <c r="O120" s="8"/>
      <c r="P120" s="8"/>
      <c r="Q120" s="8"/>
      <c r="R120" s="8"/>
      <c r="S120" s="8"/>
      <c r="T120" s="8"/>
      <c r="U120" s="8"/>
      <c r="V120" s="8"/>
      <c r="W120" s="8"/>
      <c r="X120" s="8"/>
      <c r="Y120" s="8"/>
      <c r="Z120" s="8"/>
    </row>
    <row r="121" ht="15.0" customHeight="1">
      <c r="A121" s="58">
        <v>2.2002705E7</v>
      </c>
      <c r="B121" s="59" t="s">
        <v>71</v>
      </c>
      <c r="C121" s="59" t="s">
        <v>280</v>
      </c>
      <c r="D121" s="60">
        <v>19.0</v>
      </c>
      <c r="E121" s="59" t="str">
        <f t="shared" si="1"/>
        <v>Admis</v>
      </c>
      <c r="F121" s="8"/>
      <c r="G121" s="8"/>
      <c r="H121" s="8"/>
      <c r="I121" s="8"/>
      <c r="J121" s="8"/>
      <c r="K121" s="8"/>
      <c r="L121" s="8"/>
      <c r="M121" s="8"/>
      <c r="N121" s="8"/>
      <c r="O121" s="8"/>
      <c r="P121" s="8"/>
      <c r="Q121" s="8"/>
      <c r="R121" s="8"/>
      <c r="S121" s="8"/>
      <c r="T121" s="8"/>
      <c r="U121" s="8"/>
      <c r="V121" s="8"/>
      <c r="W121" s="8"/>
      <c r="X121" s="8"/>
      <c r="Y121" s="8"/>
      <c r="Z121" s="8"/>
    </row>
    <row r="122" ht="15.0" customHeight="1">
      <c r="A122" s="58">
        <v>3.8001674E7</v>
      </c>
      <c r="B122" s="59" t="s">
        <v>281</v>
      </c>
      <c r="C122" s="59" t="s">
        <v>282</v>
      </c>
      <c r="D122" s="60">
        <v>3.0</v>
      </c>
      <c r="E122" s="59" t="str">
        <f t="shared" si="1"/>
        <v>Ajourné</v>
      </c>
      <c r="F122" s="8"/>
      <c r="G122" s="8"/>
      <c r="H122" s="8"/>
      <c r="I122" s="8"/>
      <c r="J122" s="8"/>
      <c r="K122" s="8"/>
      <c r="L122" s="8"/>
      <c r="M122" s="8"/>
      <c r="N122" s="8"/>
      <c r="O122" s="8"/>
      <c r="P122" s="8"/>
      <c r="Q122" s="8"/>
      <c r="R122" s="8"/>
      <c r="S122" s="8"/>
      <c r="T122" s="8"/>
      <c r="U122" s="8"/>
      <c r="V122" s="8"/>
      <c r="W122" s="8"/>
      <c r="X122" s="8"/>
      <c r="Y122" s="8"/>
      <c r="Z122" s="8"/>
    </row>
    <row r="123" ht="15.0" customHeight="1">
      <c r="A123" s="58">
        <v>4.0004646E7</v>
      </c>
      <c r="B123" s="59" t="s">
        <v>283</v>
      </c>
      <c r="C123" s="59" t="s">
        <v>284</v>
      </c>
      <c r="D123" s="60">
        <v>15.0</v>
      </c>
      <c r="E123" s="59" t="str">
        <f t="shared" si="1"/>
        <v>Admis</v>
      </c>
      <c r="F123" s="8"/>
      <c r="G123" s="8"/>
      <c r="H123" s="8"/>
      <c r="I123" s="8"/>
      <c r="J123" s="8"/>
      <c r="K123" s="8"/>
      <c r="L123" s="8"/>
      <c r="M123" s="8"/>
      <c r="N123" s="8"/>
      <c r="O123" s="8"/>
      <c r="P123" s="8"/>
      <c r="Q123" s="8"/>
      <c r="R123" s="8"/>
      <c r="S123" s="8"/>
      <c r="T123" s="8"/>
      <c r="U123" s="8"/>
      <c r="V123" s="8"/>
      <c r="W123" s="8"/>
      <c r="X123" s="8"/>
      <c r="Y123" s="8"/>
      <c r="Z123" s="8"/>
    </row>
    <row r="124" ht="15.0" customHeight="1">
      <c r="A124" s="58">
        <v>3.5001183E7</v>
      </c>
      <c r="B124" s="59" t="s">
        <v>285</v>
      </c>
      <c r="C124" s="59" t="s">
        <v>286</v>
      </c>
      <c r="D124" s="60">
        <v>15.0</v>
      </c>
      <c r="E124" s="59" t="str">
        <f t="shared" si="1"/>
        <v>Admis</v>
      </c>
      <c r="F124" s="8"/>
      <c r="G124" s="8"/>
      <c r="H124" s="8"/>
      <c r="I124" s="8"/>
      <c r="J124" s="8"/>
      <c r="K124" s="8"/>
      <c r="L124" s="8"/>
      <c r="M124" s="8"/>
      <c r="N124" s="8"/>
      <c r="O124" s="8"/>
      <c r="P124" s="8"/>
      <c r="Q124" s="8"/>
      <c r="R124" s="8"/>
      <c r="S124" s="8"/>
      <c r="T124" s="8"/>
      <c r="U124" s="8"/>
      <c r="V124" s="8"/>
      <c r="W124" s="8"/>
      <c r="X124" s="8"/>
      <c r="Y124" s="8"/>
      <c r="Z124" s="8"/>
    </row>
    <row r="125" ht="15.0" customHeight="1">
      <c r="A125" s="58">
        <v>3.8002152E7</v>
      </c>
      <c r="B125" s="59" t="s">
        <v>216</v>
      </c>
      <c r="C125" s="59" t="s">
        <v>129</v>
      </c>
      <c r="D125" s="60">
        <v>5.0</v>
      </c>
      <c r="E125" s="59" t="str">
        <f t="shared" si="1"/>
        <v>Ajourné</v>
      </c>
      <c r="F125" s="8"/>
      <c r="G125" s="8"/>
      <c r="H125" s="8"/>
      <c r="I125" s="8"/>
      <c r="J125" s="8"/>
      <c r="K125" s="8"/>
      <c r="L125" s="8"/>
      <c r="M125" s="8"/>
      <c r="N125" s="8"/>
      <c r="O125" s="8"/>
      <c r="P125" s="8"/>
      <c r="Q125" s="8"/>
      <c r="R125" s="8"/>
      <c r="S125" s="8"/>
      <c r="T125" s="8"/>
      <c r="U125" s="8"/>
      <c r="V125" s="8"/>
      <c r="W125" s="8"/>
      <c r="X125" s="8"/>
      <c r="Y125" s="8"/>
      <c r="Z125" s="8"/>
    </row>
    <row r="126" ht="15.0" customHeight="1">
      <c r="A126" s="58">
        <v>3.9003322E7</v>
      </c>
      <c r="B126" s="59" t="s">
        <v>287</v>
      </c>
      <c r="C126" s="59" t="s">
        <v>111</v>
      </c>
      <c r="D126" s="60">
        <v>4.0</v>
      </c>
      <c r="E126" s="59" t="str">
        <f t="shared" si="1"/>
        <v>Ajourné</v>
      </c>
      <c r="F126" s="8"/>
      <c r="G126" s="8"/>
      <c r="H126" s="8"/>
      <c r="I126" s="8"/>
      <c r="J126" s="8"/>
      <c r="K126" s="8"/>
      <c r="L126" s="8"/>
      <c r="M126" s="8"/>
      <c r="N126" s="8"/>
      <c r="O126" s="8"/>
      <c r="P126" s="8"/>
      <c r="Q126" s="8"/>
      <c r="R126" s="8"/>
      <c r="S126" s="8"/>
      <c r="T126" s="8"/>
      <c r="U126" s="8"/>
      <c r="V126" s="8"/>
      <c r="W126" s="8"/>
      <c r="X126" s="8"/>
      <c r="Y126" s="8"/>
      <c r="Z126" s="8"/>
    </row>
    <row r="127" ht="15.0" customHeight="1">
      <c r="A127" s="58">
        <v>3.9000791E7</v>
      </c>
      <c r="B127" s="59" t="s">
        <v>288</v>
      </c>
      <c r="C127" s="59" t="s">
        <v>289</v>
      </c>
      <c r="D127" s="60">
        <v>5.0</v>
      </c>
      <c r="E127" s="59" t="str">
        <f t="shared" si="1"/>
        <v>Ajourné</v>
      </c>
      <c r="F127" s="8"/>
      <c r="G127" s="8"/>
      <c r="H127" s="8"/>
      <c r="I127" s="8"/>
      <c r="J127" s="8"/>
      <c r="K127" s="8"/>
      <c r="L127" s="8"/>
      <c r="M127" s="8"/>
      <c r="N127" s="8"/>
      <c r="O127" s="8"/>
      <c r="P127" s="8"/>
      <c r="Q127" s="8"/>
      <c r="R127" s="8"/>
      <c r="S127" s="8"/>
      <c r="T127" s="8"/>
      <c r="U127" s="8"/>
      <c r="V127" s="8"/>
      <c r="W127" s="8"/>
      <c r="X127" s="8"/>
      <c r="Y127" s="8"/>
      <c r="Z127" s="8"/>
    </row>
    <row r="128" ht="15.0" customHeight="1">
      <c r="A128" s="58">
        <v>4.0008021E7</v>
      </c>
      <c r="B128" s="59" t="s">
        <v>290</v>
      </c>
      <c r="C128" s="59" t="s">
        <v>291</v>
      </c>
      <c r="D128" s="60">
        <v>1.0</v>
      </c>
      <c r="E128" s="59" t="str">
        <f t="shared" si="1"/>
        <v>Ajourné</v>
      </c>
      <c r="F128" s="8"/>
      <c r="G128" s="8"/>
      <c r="H128" s="8"/>
      <c r="I128" s="8"/>
      <c r="J128" s="8"/>
      <c r="K128" s="8"/>
      <c r="L128" s="8"/>
      <c r="M128" s="8"/>
      <c r="N128" s="8"/>
      <c r="O128" s="8"/>
      <c r="P128" s="8"/>
      <c r="Q128" s="8"/>
      <c r="R128" s="8"/>
      <c r="S128" s="8"/>
      <c r="T128" s="8"/>
      <c r="U128" s="8"/>
      <c r="V128" s="8"/>
      <c r="W128" s="8"/>
      <c r="X128" s="8"/>
      <c r="Y128" s="8"/>
      <c r="Z128" s="8"/>
    </row>
    <row r="129" ht="15.0" customHeight="1">
      <c r="A129" s="58">
        <v>3.8005478E7</v>
      </c>
      <c r="B129" s="59" t="s">
        <v>71</v>
      </c>
      <c r="C129" s="59" t="s">
        <v>292</v>
      </c>
      <c r="D129" s="60">
        <v>18.0</v>
      </c>
      <c r="E129" s="59" t="str">
        <f t="shared" si="1"/>
        <v>Admis</v>
      </c>
      <c r="F129" s="8"/>
      <c r="G129" s="8"/>
      <c r="H129" s="8"/>
      <c r="I129" s="8"/>
      <c r="J129" s="8"/>
      <c r="K129" s="8"/>
      <c r="L129" s="8"/>
      <c r="M129" s="8"/>
      <c r="N129" s="8"/>
      <c r="O129" s="8"/>
      <c r="P129" s="8"/>
      <c r="Q129" s="8"/>
      <c r="R129" s="8"/>
      <c r="S129" s="8"/>
      <c r="T129" s="8"/>
      <c r="U129" s="8"/>
      <c r="V129" s="8"/>
      <c r="W129" s="8"/>
      <c r="X129" s="8"/>
      <c r="Y129" s="8"/>
      <c r="Z129" s="8"/>
    </row>
    <row r="130" ht="15.0" customHeight="1">
      <c r="A130" s="58">
        <v>3.9005343E7</v>
      </c>
      <c r="B130" s="59" t="s">
        <v>293</v>
      </c>
      <c r="C130" s="59" t="s">
        <v>294</v>
      </c>
      <c r="D130" s="60">
        <v>17.0</v>
      </c>
      <c r="E130" s="59" t="str">
        <f t="shared" si="1"/>
        <v>Admis</v>
      </c>
      <c r="F130" s="8"/>
      <c r="G130" s="8"/>
      <c r="H130" s="8"/>
      <c r="I130" s="8"/>
      <c r="J130" s="8"/>
      <c r="K130" s="8"/>
      <c r="L130" s="8"/>
      <c r="M130" s="8"/>
      <c r="N130" s="8"/>
      <c r="O130" s="8"/>
      <c r="P130" s="8"/>
      <c r="Q130" s="8"/>
      <c r="R130" s="8"/>
      <c r="S130" s="8"/>
      <c r="T130" s="8"/>
      <c r="U130" s="8"/>
      <c r="V130" s="8"/>
      <c r="W130" s="8"/>
      <c r="X130" s="8"/>
      <c r="Y130" s="8"/>
      <c r="Z130" s="8"/>
    </row>
    <row r="131" ht="15.0" customHeight="1">
      <c r="A131" s="58">
        <v>4.0003443E7</v>
      </c>
      <c r="B131" s="59" t="s">
        <v>91</v>
      </c>
      <c r="C131" s="59" t="s">
        <v>295</v>
      </c>
      <c r="D131" s="60">
        <v>15.0</v>
      </c>
      <c r="E131" s="59" t="str">
        <f t="shared" si="1"/>
        <v>Admis</v>
      </c>
      <c r="F131" s="8"/>
      <c r="G131" s="8"/>
      <c r="H131" s="8"/>
      <c r="I131" s="8"/>
      <c r="J131" s="8"/>
      <c r="K131" s="8"/>
      <c r="L131" s="8"/>
      <c r="M131" s="8"/>
      <c r="N131" s="8"/>
      <c r="O131" s="8"/>
      <c r="P131" s="8"/>
      <c r="Q131" s="8"/>
      <c r="R131" s="8"/>
      <c r="S131" s="8"/>
      <c r="T131" s="8"/>
      <c r="U131" s="8"/>
      <c r="V131" s="8"/>
      <c r="W131" s="8"/>
      <c r="X131" s="8"/>
      <c r="Y131" s="8"/>
      <c r="Z131" s="8"/>
    </row>
    <row r="132" ht="15.0" customHeight="1">
      <c r="A132" s="58">
        <v>3.9003066E7</v>
      </c>
      <c r="B132" s="59" t="s">
        <v>296</v>
      </c>
      <c r="C132" s="59" t="s">
        <v>297</v>
      </c>
      <c r="D132" s="60">
        <v>14.0</v>
      </c>
      <c r="E132" s="59" t="str">
        <f t="shared" si="1"/>
        <v>Admis</v>
      </c>
      <c r="F132" s="8"/>
      <c r="G132" s="8"/>
      <c r="H132" s="8"/>
      <c r="I132" s="8"/>
      <c r="J132" s="8"/>
      <c r="K132" s="8"/>
      <c r="L132" s="8"/>
      <c r="M132" s="8"/>
      <c r="N132" s="8"/>
      <c r="O132" s="8"/>
      <c r="P132" s="8"/>
      <c r="Q132" s="8"/>
      <c r="R132" s="8"/>
      <c r="S132" s="8"/>
      <c r="T132" s="8"/>
      <c r="U132" s="8"/>
      <c r="V132" s="8"/>
      <c r="W132" s="8"/>
      <c r="X132" s="8"/>
      <c r="Y132" s="8"/>
      <c r="Z132" s="8"/>
    </row>
    <row r="133" ht="15.0" customHeight="1">
      <c r="A133" s="58">
        <v>3.8001557E7</v>
      </c>
      <c r="B133" s="59" t="s">
        <v>298</v>
      </c>
      <c r="C133" s="59" t="s">
        <v>299</v>
      </c>
      <c r="D133" s="60">
        <v>7.0</v>
      </c>
      <c r="E133" s="59" t="str">
        <f t="shared" si="1"/>
        <v>Ajourné</v>
      </c>
      <c r="F133" s="8"/>
      <c r="G133" s="8"/>
      <c r="H133" s="8"/>
      <c r="I133" s="8"/>
      <c r="J133" s="8"/>
      <c r="K133" s="8"/>
      <c r="L133" s="8"/>
      <c r="M133" s="8"/>
      <c r="N133" s="8"/>
      <c r="O133" s="8"/>
      <c r="P133" s="8"/>
      <c r="Q133" s="8"/>
      <c r="R133" s="8"/>
      <c r="S133" s="8"/>
      <c r="T133" s="8"/>
      <c r="U133" s="8"/>
      <c r="V133" s="8"/>
      <c r="W133" s="8"/>
      <c r="X133" s="8"/>
      <c r="Y133" s="8"/>
      <c r="Z133" s="8"/>
    </row>
    <row r="134" ht="15.0" customHeight="1">
      <c r="A134" s="58">
        <v>3.4004911E7</v>
      </c>
      <c r="B134" s="59" t="s">
        <v>300</v>
      </c>
      <c r="C134" s="59" t="s">
        <v>301</v>
      </c>
      <c r="D134" s="60">
        <v>11.0</v>
      </c>
      <c r="E134" s="59" t="str">
        <f t="shared" si="1"/>
        <v>Admis</v>
      </c>
      <c r="F134" s="8"/>
      <c r="G134" s="8"/>
      <c r="H134" s="8"/>
      <c r="I134" s="8"/>
      <c r="J134" s="8"/>
      <c r="K134" s="8"/>
      <c r="L134" s="8"/>
      <c r="M134" s="8"/>
      <c r="N134" s="8"/>
      <c r="O134" s="8"/>
      <c r="P134" s="8"/>
      <c r="Q134" s="8"/>
      <c r="R134" s="8"/>
      <c r="S134" s="8"/>
      <c r="T134" s="8"/>
      <c r="U134" s="8"/>
      <c r="V134" s="8"/>
      <c r="W134" s="8"/>
      <c r="X134" s="8"/>
      <c r="Y134" s="8"/>
      <c r="Z134" s="8"/>
    </row>
    <row r="135" ht="15.0" customHeight="1">
      <c r="A135" s="58">
        <v>3.900592E7</v>
      </c>
      <c r="B135" s="59" t="s">
        <v>302</v>
      </c>
      <c r="C135" s="59" t="s">
        <v>303</v>
      </c>
      <c r="D135" s="60">
        <v>8.0</v>
      </c>
      <c r="E135" s="59" t="str">
        <f t="shared" si="1"/>
        <v>Ajourné</v>
      </c>
      <c r="F135" s="8"/>
      <c r="G135" s="8"/>
      <c r="H135" s="8"/>
      <c r="I135" s="8"/>
      <c r="J135" s="8"/>
      <c r="K135" s="8"/>
      <c r="L135" s="8"/>
      <c r="M135" s="8"/>
      <c r="N135" s="8"/>
      <c r="O135" s="8"/>
      <c r="P135" s="8"/>
      <c r="Q135" s="8"/>
      <c r="R135" s="8"/>
      <c r="S135" s="8"/>
      <c r="T135" s="8"/>
      <c r="U135" s="8"/>
      <c r="V135" s="8"/>
      <c r="W135" s="8"/>
      <c r="X135" s="8"/>
      <c r="Y135" s="8"/>
      <c r="Z135" s="8"/>
    </row>
    <row r="136" ht="15.0" customHeight="1">
      <c r="A136" s="58">
        <v>3.9004E7</v>
      </c>
      <c r="B136" s="59" t="s">
        <v>304</v>
      </c>
      <c r="C136" s="59" t="s">
        <v>305</v>
      </c>
      <c r="D136" s="60">
        <v>6.0</v>
      </c>
      <c r="E136" s="59" t="str">
        <f t="shared" si="1"/>
        <v>Ajourné</v>
      </c>
      <c r="F136" s="8"/>
      <c r="G136" s="8"/>
      <c r="H136" s="8"/>
      <c r="I136" s="8"/>
      <c r="J136" s="8"/>
      <c r="K136" s="8"/>
      <c r="L136" s="8"/>
      <c r="M136" s="8"/>
      <c r="N136" s="8"/>
      <c r="O136" s="8"/>
      <c r="P136" s="8"/>
      <c r="Q136" s="8"/>
      <c r="R136" s="8"/>
      <c r="S136" s="8"/>
      <c r="T136" s="8"/>
      <c r="U136" s="8"/>
      <c r="V136" s="8"/>
      <c r="W136" s="8"/>
      <c r="X136" s="8"/>
      <c r="Y136" s="8"/>
      <c r="Z136" s="8"/>
    </row>
    <row r="137" ht="15.0" customHeight="1">
      <c r="A137" s="58">
        <v>3.8002467E7</v>
      </c>
      <c r="B137" s="59" t="s">
        <v>124</v>
      </c>
      <c r="C137" s="59" t="s">
        <v>306</v>
      </c>
      <c r="D137" s="60">
        <v>13.0</v>
      </c>
      <c r="E137" s="59" t="str">
        <f t="shared" si="1"/>
        <v>Admis</v>
      </c>
      <c r="F137" s="8"/>
      <c r="G137" s="8"/>
      <c r="H137" s="8"/>
      <c r="I137" s="8"/>
      <c r="J137" s="8"/>
      <c r="K137" s="8"/>
      <c r="L137" s="8"/>
      <c r="M137" s="8"/>
      <c r="N137" s="8"/>
      <c r="O137" s="8"/>
      <c r="P137" s="8"/>
      <c r="Q137" s="8"/>
      <c r="R137" s="8"/>
      <c r="S137" s="8"/>
      <c r="T137" s="8"/>
      <c r="U137" s="8"/>
      <c r="V137" s="8"/>
      <c r="W137" s="8"/>
      <c r="X137" s="8"/>
      <c r="Y137" s="8"/>
      <c r="Z137" s="8"/>
    </row>
    <row r="138" ht="15.0" customHeight="1">
      <c r="A138" s="58">
        <v>3.8005623E7</v>
      </c>
      <c r="B138" s="59" t="s">
        <v>307</v>
      </c>
      <c r="C138" s="59" t="s">
        <v>308</v>
      </c>
      <c r="D138" s="60">
        <v>6.0</v>
      </c>
      <c r="E138" s="59" t="str">
        <f t="shared" si="1"/>
        <v>Ajourné</v>
      </c>
      <c r="F138" s="8"/>
      <c r="G138" s="8"/>
      <c r="H138" s="8"/>
      <c r="I138" s="8"/>
      <c r="J138" s="8"/>
      <c r="K138" s="8"/>
      <c r="L138" s="8"/>
      <c r="M138" s="8"/>
      <c r="N138" s="8"/>
      <c r="O138" s="8"/>
      <c r="P138" s="8"/>
      <c r="Q138" s="8"/>
      <c r="R138" s="8"/>
      <c r="S138" s="8"/>
      <c r="T138" s="8"/>
      <c r="U138" s="8"/>
      <c r="V138" s="8"/>
      <c r="W138" s="8"/>
      <c r="X138" s="8"/>
      <c r="Y138" s="8"/>
      <c r="Z138" s="8"/>
    </row>
    <row r="139" ht="12.75" customHeight="1">
      <c r="A139" s="61"/>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2.75" customHeight="1">
      <c r="A140" s="61"/>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2.75" customHeight="1">
      <c r="A141" s="61"/>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2.75" customHeight="1">
      <c r="A142" s="61"/>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2.75" customHeight="1">
      <c r="A143" s="61"/>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2.75" customHeight="1">
      <c r="A144" s="61"/>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2.75" customHeight="1">
      <c r="A145" s="61"/>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2.75" customHeight="1">
      <c r="A146" s="61"/>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2.75" customHeight="1">
      <c r="A147" s="61"/>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2.75" customHeight="1">
      <c r="A148" s="61"/>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2.75" customHeight="1">
      <c r="A149" s="61"/>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2.75" customHeight="1">
      <c r="A150" s="61"/>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2.75" customHeight="1">
      <c r="A151" s="61"/>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2.75" customHeight="1">
      <c r="A152" s="61"/>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2.75" customHeight="1">
      <c r="A153" s="61"/>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2.75" customHeight="1">
      <c r="A154" s="61"/>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2.75" customHeight="1">
      <c r="A155" s="61"/>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2.75" customHeight="1">
      <c r="A156" s="61"/>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2.75" customHeight="1">
      <c r="A157" s="61"/>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2.75" customHeight="1">
      <c r="A158" s="61"/>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2.75" customHeight="1">
      <c r="A159" s="61"/>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2.75" customHeight="1">
      <c r="A160" s="61"/>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2.75" customHeight="1">
      <c r="A161" s="61"/>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2.75" customHeight="1">
      <c r="A162" s="61"/>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2.75" customHeight="1">
      <c r="A163" s="61"/>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2.75" customHeight="1">
      <c r="A164" s="61"/>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2.75" customHeight="1">
      <c r="A165" s="61"/>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2.75" customHeight="1">
      <c r="A166" s="61"/>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2.75" customHeight="1">
      <c r="A167" s="61"/>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2.75" customHeight="1">
      <c r="A168" s="61"/>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2.75" customHeight="1">
      <c r="A169" s="61"/>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2.75" customHeight="1">
      <c r="A170" s="61"/>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2.75" customHeight="1">
      <c r="A171" s="61"/>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2.75" customHeight="1">
      <c r="A172" s="61"/>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2.75" customHeight="1">
      <c r="A173" s="61"/>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2.75" customHeight="1">
      <c r="A174" s="61"/>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2.75" customHeight="1">
      <c r="A175" s="61"/>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2.75" customHeight="1">
      <c r="A176" s="61"/>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2.75" customHeight="1">
      <c r="A177" s="61"/>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2.75" customHeight="1">
      <c r="A178" s="61"/>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2.75" customHeight="1">
      <c r="A179" s="61"/>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2.75" customHeight="1">
      <c r="A180" s="61"/>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2.75" customHeight="1">
      <c r="A181" s="61"/>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2.75" customHeight="1">
      <c r="A182" s="61"/>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2.75" customHeight="1">
      <c r="A183" s="61"/>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2.75" customHeight="1">
      <c r="A184" s="61"/>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2.75" customHeight="1">
      <c r="A185" s="61"/>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2.75" customHeight="1">
      <c r="A186" s="61"/>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2.75" customHeight="1">
      <c r="A187" s="61"/>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2.75" customHeight="1">
      <c r="A188" s="61"/>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2.75" customHeight="1">
      <c r="A189" s="61"/>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2.75" customHeight="1">
      <c r="A190" s="61"/>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2.75" customHeight="1">
      <c r="A191" s="61"/>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2.75" customHeight="1">
      <c r="A192" s="61"/>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2.75" customHeight="1">
      <c r="A193" s="61"/>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2.75" customHeight="1">
      <c r="A194" s="61"/>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2.75" customHeight="1">
      <c r="A195" s="61"/>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2.75" customHeight="1">
      <c r="A196" s="61"/>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2.75" customHeight="1">
      <c r="A197" s="61"/>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2.75" customHeight="1">
      <c r="A198" s="61"/>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2.75" customHeight="1">
      <c r="A199" s="61"/>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2.75" customHeight="1">
      <c r="A200" s="61"/>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2.75" customHeight="1">
      <c r="A201" s="61"/>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2.75" customHeight="1">
      <c r="A202" s="61"/>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2.75" customHeight="1">
      <c r="A203" s="61"/>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2.75" customHeight="1">
      <c r="A204" s="61"/>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2.75" customHeight="1">
      <c r="A205" s="61"/>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2.75" customHeight="1">
      <c r="A206" s="61"/>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2.75" customHeight="1">
      <c r="A207" s="61"/>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2.75" customHeight="1">
      <c r="A208" s="61"/>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2.75" customHeight="1">
      <c r="A209" s="61"/>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2.75" customHeight="1">
      <c r="A210" s="61"/>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2.75" customHeight="1">
      <c r="A211" s="61"/>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2.75" customHeight="1">
      <c r="A212" s="61"/>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2.75" customHeight="1">
      <c r="A213" s="61"/>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2.75" customHeight="1">
      <c r="A214" s="61"/>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2.75" customHeight="1">
      <c r="A215" s="61"/>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2.75" customHeight="1">
      <c r="A216" s="61"/>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2.75" customHeight="1">
      <c r="A217" s="61"/>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2.75" customHeight="1">
      <c r="A218" s="61"/>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2.75" customHeight="1">
      <c r="A219" s="61"/>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2.75" customHeight="1">
      <c r="A220" s="61"/>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2.75" customHeight="1">
      <c r="A221" s="61"/>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2.75" customHeight="1">
      <c r="A222" s="61"/>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2.75" customHeight="1">
      <c r="A223" s="61"/>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2.75" customHeight="1">
      <c r="A224" s="61"/>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2.75" customHeight="1">
      <c r="A225" s="61"/>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2.75" customHeight="1">
      <c r="A226" s="61"/>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2.75" customHeight="1">
      <c r="A227" s="61"/>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2.75" customHeight="1">
      <c r="A228" s="61"/>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2.75" customHeight="1">
      <c r="A229" s="61"/>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2.75" customHeight="1">
      <c r="A230" s="61"/>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2.75" customHeight="1">
      <c r="A231" s="61"/>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2.75" customHeight="1">
      <c r="A232" s="61"/>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2.75" customHeight="1">
      <c r="A233" s="61"/>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2.75" customHeight="1">
      <c r="A234" s="61"/>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2.75" customHeight="1">
      <c r="A235" s="61"/>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2.75" customHeight="1">
      <c r="A236" s="61"/>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2.75" customHeight="1">
      <c r="A237" s="61"/>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2.75" customHeight="1">
      <c r="A238" s="61"/>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2.75" customHeight="1">
      <c r="A239" s="61"/>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2.75" customHeight="1">
      <c r="A240" s="61"/>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2.75" customHeight="1">
      <c r="A241" s="61"/>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2.75" customHeight="1">
      <c r="A242" s="61"/>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2.75" customHeight="1">
      <c r="A243" s="61"/>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2.75" customHeight="1">
      <c r="A244" s="61"/>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2.75" customHeight="1">
      <c r="A245" s="61"/>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2.75" customHeight="1">
      <c r="A246" s="61"/>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2.75" customHeight="1">
      <c r="A247" s="61"/>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2.75" customHeight="1">
      <c r="A248" s="61"/>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2.75" customHeight="1">
      <c r="A249" s="61"/>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ht="12.75" customHeight="1">
      <c r="A250" s="61"/>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ht="12.75" customHeight="1">
      <c r="A251" s="61"/>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ht="12.75" customHeight="1">
      <c r="A252" s="61"/>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ht="12.75" customHeight="1">
      <c r="A253" s="61"/>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ht="12.75" customHeight="1">
      <c r="A254" s="61"/>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ht="12.75" customHeight="1">
      <c r="A255" s="61"/>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ht="12.75" customHeight="1">
      <c r="A256" s="61"/>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ht="12.75" customHeight="1">
      <c r="A257" s="61"/>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ht="12.75" customHeight="1">
      <c r="A258" s="61"/>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ht="12.75" customHeight="1">
      <c r="A259" s="61"/>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ht="12.75" customHeight="1">
      <c r="A260" s="61"/>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ht="12.75" customHeight="1">
      <c r="A261" s="61"/>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ht="12.75" customHeight="1">
      <c r="A262" s="61"/>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ht="12.75" customHeight="1">
      <c r="A263" s="61"/>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ht="12.75" customHeight="1">
      <c r="A264" s="61"/>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ht="12.75" customHeight="1">
      <c r="A265" s="61"/>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ht="12.75" customHeight="1">
      <c r="A266" s="61"/>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ht="12.75" customHeight="1">
      <c r="A267" s="61"/>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ht="12.75" customHeight="1">
      <c r="A268" s="61"/>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ht="12.75" customHeight="1">
      <c r="A269" s="61"/>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ht="12.75" customHeight="1">
      <c r="A270" s="61"/>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ht="12.75" customHeight="1">
      <c r="A271" s="61"/>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ht="12.75" customHeight="1">
      <c r="A272" s="61"/>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ht="12.75" customHeight="1">
      <c r="A273" s="61"/>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ht="12.75" customHeight="1">
      <c r="A274" s="61"/>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ht="12.75" customHeight="1">
      <c r="A275" s="61"/>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ht="12.75" customHeight="1">
      <c r="A276" s="61"/>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ht="12.75" customHeight="1">
      <c r="A277" s="61"/>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ht="12.75" customHeight="1">
      <c r="A278" s="61"/>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ht="12.75" customHeight="1">
      <c r="A279" s="61"/>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ht="12.75" customHeight="1">
      <c r="A280" s="61"/>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ht="12.75" customHeight="1">
      <c r="A281" s="61"/>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ht="12.75" customHeight="1">
      <c r="A282" s="61"/>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ht="12.75" customHeight="1">
      <c r="A283" s="61"/>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ht="12.75" customHeight="1">
      <c r="A284" s="61"/>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ht="12.75" customHeight="1">
      <c r="A285" s="61"/>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ht="12.75" customHeight="1">
      <c r="A286" s="61"/>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ht="12.75" customHeight="1">
      <c r="A287" s="61"/>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ht="12.75" customHeight="1">
      <c r="A288" s="61"/>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ht="12.75" customHeight="1">
      <c r="A289" s="61"/>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ht="12.75" customHeight="1">
      <c r="A290" s="61"/>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ht="12.75" customHeight="1">
      <c r="A291" s="61"/>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ht="12.75" customHeight="1">
      <c r="A292" s="61"/>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ht="12.75" customHeight="1">
      <c r="A293" s="61"/>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ht="12.75" customHeight="1">
      <c r="A294" s="61"/>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ht="12.75" customHeight="1">
      <c r="A295" s="61"/>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ht="12.75" customHeight="1">
      <c r="A296" s="61"/>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ht="12.75" customHeight="1">
      <c r="A297" s="61"/>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ht="12.75" customHeight="1">
      <c r="A298" s="61"/>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ht="12.75" customHeight="1">
      <c r="A299" s="61"/>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ht="12.75" customHeight="1">
      <c r="A300" s="61"/>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ht="12.75" customHeight="1">
      <c r="A301" s="61"/>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ht="12.75" customHeight="1">
      <c r="A302" s="61"/>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ht="12.75" customHeight="1">
      <c r="A303" s="61"/>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ht="12.75" customHeight="1">
      <c r="A304" s="61"/>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ht="12.75" customHeight="1">
      <c r="A305" s="61"/>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ht="12.75" customHeight="1">
      <c r="A306" s="61"/>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ht="12.75" customHeight="1">
      <c r="A307" s="61"/>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ht="12.75" customHeight="1">
      <c r="A308" s="61"/>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ht="12.75" customHeight="1">
      <c r="A309" s="61"/>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ht="12.75" customHeight="1">
      <c r="A310" s="61"/>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ht="12.75" customHeight="1">
      <c r="A311" s="61"/>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ht="12.75" customHeight="1">
      <c r="A312" s="61"/>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ht="12.75" customHeight="1">
      <c r="A313" s="61"/>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ht="12.75" customHeight="1">
      <c r="A314" s="61"/>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ht="12.75" customHeight="1">
      <c r="A315" s="61"/>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ht="12.75" customHeight="1">
      <c r="A316" s="61"/>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ht="12.75" customHeight="1">
      <c r="A317" s="61"/>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ht="12.75" customHeight="1">
      <c r="A318" s="61"/>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ht="12.75" customHeight="1">
      <c r="A319" s="61"/>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ht="12.75" customHeight="1">
      <c r="A320" s="61"/>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ht="12.75" customHeight="1">
      <c r="A321" s="61"/>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ht="12.75" customHeight="1">
      <c r="A322" s="61"/>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ht="12.75" customHeight="1">
      <c r="A323" s="61"/>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ht="12.75" customHeight="1">
      <c r="A324" s="61"/>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ht="12.75" customHeight="1">
      <c r="A325" s="61"/>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ht="12.75" customHeight="1">
      <c r="A326" s="61"/>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ht="12.75" customHeight="1">
      <c r="A327" s="61"/>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ht="12.75" customHeight="1">
      <c r="A328" s="61"/>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ht="12.75" customHeight="1">
      <c r="A329" s="61"/>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ht="12.75" customHeight="1">
      <c r="A330" s="61"/>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ht="12.75" customHeight="1">
      <c r="A331" s="61"/>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ht="12.75" customHeight="1">
      <c r="A332" s="61"/>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ht="12.75" customHeight="1">
      <c r="A333" s="61"/>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ht="12.75" customHeight="1">
      <c r="A334" s="61"/>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ht="12.75" customHeight="1">
      <c r="A335" s="61"/>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ht="12.75" customHeight="1">
      <c r="A336" s="61"/>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ht="12.75" customHeight="1">
      <c r="A337" s="61"/>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ht="12.75" customHeight="1">
      <c r="A338" s="61"/>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ht="12.75" customHeight="1">
      <c r="A339" s="61"/>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ht="12.75" customHeight="1">
      <c r="A340" s="61"/>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ht="12.75" customHeight="1">
      <c r="A341" s="61"/>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ht="12.75" customHeight="1">
      <c r="A342" s="61"/>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ht="12.75" customHeight="1">
      <c r="A343" s="61"/>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ht="12.75" customHeight="1">
      <c r="A344" s="61"/>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ht="12.75" customHeight="1">
      <c r="A345" s="61"/>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ht="12.75" customHeight="1">
      <c r="A346" s="61"/>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ht="12.75" customHeight="1">
      <c r="A347" s="61"/>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ht="12.75" customHeight="1">
      <c r="A348" s="61"/>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ht="12.75" customHeight="1">
      <c r="A349" s="61"/>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ht="12.75" customHeight="1">
      <c r="A350" s="61"/>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ht="12.75" customHeight="1">
      <c r="A351" s="61"/>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ht="12.75" customHeight="1">
      <c r="A352" s="61"/>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ht="12.75" customHeight="1">
      <c r="A353" s="61"/>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ht="12.75" customHeight="1">
      <c r="A354" s="61"/>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ht="12.75" customHeight="1">
      <c r="A355" s="61"/>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ht="12.75" customHeight="1">
      <c r="A356" s="61"/>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ht="12.75" customHeight="1">
      <c r="A357" s="61"/>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ht="12.75" customHeight="1">
      <c r="A358" s="61"/>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ht="12.75" customHeight="1">
      <c r="A359" s="61"/>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ht="12.75" customHeight="1">
      <c r="A360" s="61"/>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ht="12.75" customHeight="1">
      <c r="A361" s="61"/>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ht="12.75" customHeight="1">
      <c r="A362" s="61"/>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ht="12.75" customHeight="1">
      <c r="A363" s="61"/>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ht="12.75" customHeight="1">
      <c r="A364" s="61"/>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ht="12.75" customHeight="1">
      <c r="A365" s="61"/>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ht="12.75" customHeight="1">
      <c r="A366" s="61"/>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ht="12.75" customHeight="1">
      <c r="A367" s="61"/>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ht="12.75" customHeight="1">
      <c r="A368" s="61"/>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ht="12.75" customHeight="1">
      <c r="A369" s="61"/>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ht="12.75" customHeight="1">
      <c r="A370" s="61"/>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ht="12.75" customHeight="1">
      <c r="A371" s="61"/>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ht="12.75" customHeight="1">
      <c r="A372" s="61"/>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ht="12.75" customHeight="1">
      <c r="A373" s="61"/>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ht="12.75" customHeight="1">
      <c r="A374" s="61"/>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ht="12.75" customHeight="1">
      <c r="A375" s="61"/>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ht="12.75" customHeight="1">
      <c r="A376" s="61"/>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ht="12.75" customHeight="1">
      <c r="A377" s="61"/>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ht="12.75" customHeight="1">
      <c r="A378" s="61"/>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ht="12.75" customHeight="1">
      <c r="A379" s="61"/>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ht="12.75" customHeight="1">
      <c r="A380" s="61"/>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ht="12.75" customHeight="1">
      <c r="A381" s="61"/>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ht="12.75" customHeight="1">
      <c r="A382" s="61"/>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ht="12.75" customHeight="1">
      <c r="A383" s="61"/>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ht="12.75" customHeight="1">
      <c r="A384" s="61"/>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ht="12.75" customHeight="1">
      <c r="A385" s="61"/>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ht="12.75" customHeight="1">
      <c r="A386" s="61"/>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ht="12.75" customHeight="1">
      <c r="A387" s="61"/>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ht="12.75" customHeight="1">
      <c r="A388" s="61"/>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ht="12.75" customHeight="1">
      <c r="A389" s="61"/>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ht="12.75" customHeight="1">
      <c r="A390" s="61"/>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ht="12.75" customHeight="1">
      <c r="A391" s="61"/>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ht="12.75" customHeight="1">
      <c r="A392" s="61"/>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ht="12.75" customHeight="1">
      <c r="A393" s="61"/>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ht="12.75" customHeight="1">
      <c r="A394" s="61"/>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ht="12.75" customHeight="1">
      <c r="A395" s="61"/>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ht="12.75" customHeight="1">
      <c r="A396" s="61"/>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ht="12.75" customHeight="1">
      <c r="A397" s="61"/>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ht="12.75" customHeight="1">
      <c r="A398" s="61"/>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ht="12.75" customHeight="1">
      <c r="A399" s="61"/>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ht="12.75" customHeight="1">
      <c r="A400" s="61"/>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ht="12.75" customHeight="1">
      <c r="A401" s="61"/>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ht="12.75" customHeight="1">
      <c r="A402" s="61"/>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2.75" customHeight="1">
      <c r="A403" s="61"/>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ht="12.75" customHeight="1">
      <c r="A404" s="61"/>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ht="12.75" customHeight="1">
      <c r="A405" s="61"/>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ht="12.75" customHeight="1">
      <c r="A406" s="61"/>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ht="12.75" customHeight="1">
      <c r="A407" s="61"/>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ht="12.75" customHeight="1">
      <c r="A408" s="61"/>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ht="12.75" customHeight="1">
      <c r="A409" s="61"/>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ht="12.75" customHeight="1">
      <c r="A410" s="61"/>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ht="12.75" customHeight="1">
      <c r="A411" s="61"/>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ht="12.75" customHeight="1">
      <c r="A412" s="61"/>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ht="12.75" customHeight="1">
      <c r="A413" s="61"/>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ht="12.75" customHeight="1">
      <c r="A414" s="61"/>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ht="12.75" customHeight="1">
      <c r="A415" s="61"/>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ht="12.75" customHeight="1">
      <c r="A416" s="61"/>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ht="12.75" customHeight="1">
      <c r="A417" s="61"/>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ht="12.75" customHeight="1">
      <c r="A418" s="61"/>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ht="12.75" customHeight="1">
      <c r="A419" s="61"/>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ht="12.75" customHeight="1">
      <c r="A420" s="61"/>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ht="12.75" customHeight="1">
      <c r="A421" s="61"/>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ht="12.75" customHeight="1">
      <c r="A422" s="61"/>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ht="12.75" customHeight="1">
      <c r="A423" s="61"/>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ht="12.75" customHeight="1">
      <c r="A424" s="61"/>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ht="12.75" customHeight="1">
      <c r="A425" s="61"/>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ht="12.75" customHeight="1">
      <c r="A426" s="61"/>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ht="12.75" customHeight="1">
      <c r="A427" s="61"/>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ht="12.75" customHeight="1">
      <c r="A428" s="61"/>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ht="12.75" customHeight="1">
      <c r="A429" s="61"/>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ht="12.75" customHeight="1">
      <c r="A430" s="61"/>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ht="12.75" customHeight="1">
      <c r="A431" s="61"/>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ht="12.75" customHeight="1">
      <c r="A432" s="61"/>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ht="12.75" customHeight="1">
      <c r="A433" s="61"/>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ht="12.75" customHeight="1">
      <c r="A434" s="61"/>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ht="12.75" customHeight="1">
      <c r="A435" s="61"/>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ht="12.75" customHeight="1">
      <c r="A436" s="61"/>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ht="12.75" customHeight="1">
      <c r="A437" s="61"/>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ht="12.75" customHeight="1">
      <c r="A438" s="61"/>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ht="12.75" customHeight="1">
      <c r="A439" s="61"/>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ht="12.75" customHeight="1">
      <c r="A440" s="61"/>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ht="12.75" customHeight="1">
      <c r="A441" s="61"/>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ht="12.75" customHeight="1">
      <c r="A442" s="61"/>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ht="12.75" customHeight="1">
      <c r="A443" s="61"/>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ht="12.75" customHeight="1">
      <c r="A444" s="61"/>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ht="12.75" customHeight="1">
      <c r="A445" s="61"/>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ht="12.75" customHeight="1">
      <c r="A446" s="61"/>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ht="12.75" customHeight="1">
      <c r="A447" s="61"/>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ht="12.75" customHeight="1">
      <c r="A448" s="61"/>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ht="12.75" customHeight="1">
      <c r="A449" s="61"/>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ht="12.75" customHeight="1">
      <c r="A450" s="61"/>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ht="12.75" customHeight="1">
      <c r="A451" s="61"/>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ht="12.75" customHeight="1">
      <c r="A452" s="61"/>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ht="12.75" customHeight="1">
      <c r="A453" s="61"/>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ht="12.75" customHeight="1">
      <c r="A454" s="61"/>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ht="12.75" customHeight="1">
      <c r="A455" s="61"/>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ht="12.75" customHeight="1">
      <c r="A456" s="61"/>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ht="12.75" customHeight="1">
      <c r="A457" s="61"/>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ht="12.75" customHeight="1">
      <c r="A458" s="61"/>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ht="12.75" customHeight="1">
      <c r="A459" s="61"/>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ht="12.75" customHeight="1">
      <c r="A460" s="61"/>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ht="12.75" customHeight="1">
      <c r="A461" s="61"/>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ht="12.75" customHeight="1">
      <c r="A462" s="61"/>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ht="12.75" customHeight="1">
      <c r="A463" s="61"/>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ht="12.75" customHeight="1">
      <c r="A464" s="61"/>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ht="12.75" customHeight="1">
      <c r="A465" s="61"/>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ht="12.75" customHeight="1">
      <c r="A466" s="61"/>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ht="12.75" customHeight="1">
      <c r="A467" s="61"/>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ht="12.75" customHeight="1">
      <c r="A468" s="61"/>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ht="12.75" customHeight="1">
      <c r="A469" s="61"/>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ht="12.75" customHeight="1">
      <c r="A470" s="61"/>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ht="12.75" customHeight="1">
      <c r="A471" s="61"/>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ht="12.75" customHeight="1">
      <c r="A472" s="61"/>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ht="12.75" customHeight="1">
      <c r="A473" s="61"/>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ht="12.75" customHeight="1">
      <c r="A474" s="61"/>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ht="12.75" customHeight="1">
      <c r="A475" s="61"/>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ht="12.75" customHeight="1">
      <c r="A476" s="61"/>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ht="12.75" customHeight="1">
      <c r="A477" s="61"/>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ht="12.75" customHeight="1">
      <c r="A478" s="61"/>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ht="12.75" customHeight="1">
      <c r="A479" s="61"/>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ht="12.75" customHeight="1">
      <c r="A480" s="61"/>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ht="12.75" customHeight="1">
      <c r="A481" s="61"/>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ht="12.75" customHeight="1">
      <c r="A482" s="61"/>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ht="12.75" customHeight="1">
      <c r="A483" s="61"/>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ht="12.75" customHeight="1">
      <c r="A484" s="61"/>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ht="12.75" customHeight="1">
      <c r="A485" s="61"/>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ht="12.75" customHeight="1">
      <c r="A486" s="61"/>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ht="12.75" customHeight="1">
      <c r="A487" s="61"/>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ht="12.75" customHeight="1">
      <c r="A488" s="61"/>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ht="12.75" customHeight="1">
      <c r="A489" s="61"/>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ht="12.75" customHeight="1">
      <c r="A490" s="61"/>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ht="12.75" customHeight="1">
      <c r="A491" s="61"/>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ht="12.75" customHeight="1">
      <c r="A492" s="61"/>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ht="12.75" customHeight="1">
      <c r="A493" s="61"/>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ht="12.75" customHeight="1">
      <c r="A494" s="61"/>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ht="12.75" customHeight="1">
      <c r="A495" s="61"/>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ht="12.75" customHeight="1">
      <c r="A496" s="61"/>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ht="12.75" customHeight="1">
      <c r="A497" s="61"/>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ht="12.75" customHeight="1">
      <c r="A498" s="61"/>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ht="12.75" customHeight="1">
      <c r="A499" s="61"/>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ht="12.75" customHeight="1">
      <c r="A500" s="61"/>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ht="12.75" customHeight="1">
      <c r="A501" s="61"/>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ht="12.75" customHeight="1">
      <c r="A502" s="61"/>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ht="12.75" customHeight="1">
      <c r="A503" s="61"/>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ht="12.75" customHeight="1">
      <c r="A504" s="61"/>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ht="12.75" customHeight="1">
      <c r="A505" s="61"/>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ht="12.75" customHeight="1">
      <c r="A506" s="61"/>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ht="12.75" customHeight="1">
      <c r="A507" s="61"/>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ht="12.75" customHeight="1">
      <c r="A508" s="61"/>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ht="12.75" customHeight="1">
      <c r="A509" s="61"/>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ht="12.75" customHeight="1">
      <c r="A510" s="61"/>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ht="12.75" customHeight="1">
      <c r="A511" s="61"/>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ht="12.75" customHeight="1">
      <c r="A512" s="61"/>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ht="12.75" customHeight="1">
      <c r="A513" s="61"/>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ht="12.75" customHeight="1">
      <c r="A514" s="61"/>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ht="12.75" customHeight="1">
      <c r="A515" s="61"/>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ht="12.75" customHeight="1">
      <c r="A516" s="61"/>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ht="12.75" customHeight="1">
      <c r="A517" s="61"/>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ht="12.75" customHeight="1">
      <c r="A518" s="61"/>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ht="12.75" customHeight="1">
      <c r="A519" s="61"/>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ht="12.75" customHeight="1">
      <c r="A520" s="61"/>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ht="12.75" customHeight="1">
      <c r="A521" s="61"/>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ht="12.75" customHeight="1">
      <c r="A522" s="61"/>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ht="12.75" customHeight="1">
      <c r="A523" s="61"/>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ht="12.75" customHeight="1">
      <c r="A524" s="61"/>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ht="12.75" customHeight="1">
      <c r="A525" s="61"/>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ht="12.75" customHeight="1">
      <c r="A526" s="61"/>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ht="12.75" customHeight="1">
      <c r="A527" s="61"/>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ht="12.75" customHeight="1">
      <c r="A528" s="61"/>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ht="12.75" customHeight="1">
      <c r="A529" s="61"/>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ht="12.75" customHeight="1">
      <c r="A530" s="61"/>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ht="12.75" customHeight="1">
      <c r="A531" s="61"/>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ht="12.75" customHeight="1">
      <c r="A532" s="61"/>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ht="12.75" customHeight="1">
      <c r="A533" s="61"/>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ht="12.75" customHeight="1">
      <c r="A534" s="61"/>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ht="12.75" customHeight="1">
      <c r="A535" s="61"/>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ht="12.75" customHeight="1">
      <c r="A536" s="61"/>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ht="12.75" customHeight="1">
      <c r="A537" s="61"/>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ht="12.75" customHeight="1">
      <c r="A538" s="61"/>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ht="12.75" customHeight="1">
      <c r="A539" s="61"/>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ht="12.75" customHeight="1">
      <c r="A540" s="61"/>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ht="12.75" customHeight="1">
      <c r="A541" s="61"/>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ht="12.75" customHeight="1">
      <c r="A542" s="61"/>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ht="12.75" customHeight="1">
      <c r="A543" s="61"/>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ht="12.75" customHeight="1">
      <c r="A544" s="61"/>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ht="12.75" customHeight="1">
      <c r="A545" s="61"/>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ht="12.75" customHeight="1">
      <c r="A546" s="61"/>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ht="12.75" customHeight="1">
      <c r="A547" s="61"/>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ht="12.75" customHeight="1">
      <c r="A548" s="61"/>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ht="12.75" customHeight="1">
      <c r="A549" s="61"/>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ht="12.75" customHeight="1">
      <c r="A550" s="61"/>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ht="12.75" customHeight="1">
      <c r="A551" s="61"/>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ht="12.75" customHeight="1">
      <c r="A552" s="61"/>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ht="12.75" customHeight="1">
      <c r="A553" s="61"/>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ht="12.75" customHeight="1">
      <c r="A554" s="61"/>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ht="12.75" customHeight="1">
      <c r="A555" s="61"/>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ht="12.75" customHeight="1">
      <c r="A556" s="61"/>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ht="12.75" customHeight="1">
      <c r="A557" s="61"/>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ht="12.75" customHeight="1">
      <c r="A558" s="61"/>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ht="12.75" customHeight="1">
      <c r="A559" s="61"/>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ht="12.75" customHeight="1">
      <c r="A560" s="61"/>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ht="12.75" customHeight="1">
      <c r="A561" s="61"/>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ht="12.75" customHeight="1">
      <c r="A562" s="61"/>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ht="12.75" customHeight="1">
      <c r="A563" s="61"/>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ht="12.75" customHeight="1">
      <c r="A564" s="61"/>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ht="12.75" customHeight="1">
      <c r="A565" s="61"/>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ht="12.75" customHeight="1">
      <c r="A566" s="61"/>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ht="12.75" customHeight="1">
      <c r="A567" s="61"/>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ht="12.75" customHeight="1">
      <c r="A568" s="61"/>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ht="12.75" customHeight="1">
      <c r="A569" s="61"/>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ht="12.75" customHeight="1">
      <c r="A570" s="61"/>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ht="12.75" customHeight="1">
      <c r="A571" s="61"/>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ht="12.75" customHeight="1">
      <c r="A572" s="61"/>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ht="12.75" customHeight="1">
      <c r="A573" s="61"/>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ht="12.75" customHeight="1">
      <c r="A574" s="61"/>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ht="12.75" customHeight="1">
      <c r="A575" s="61"/>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ht="12.75" customHeight="1">
      <c r="A576" s="61"/>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ht="12.75" customHeight="1">
      <c r="A577" s="61"/>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ht="12.75" customHeight="1">
      <c r="A578" s="61"/>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ht="12.75" customHeight="1">
      <c r="A579" s="61"/>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ht="12.75" customHeight="1">
      <c r="A580" s="61"/>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ht="12.75" customHeight="1">
      <c r="A581" s="61"/>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ht="12.75" customHeight="1">
      <c r="A582" s="61"/>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ht="12.75" customHeight="1">
      <c r="A583" s="61"/>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ht="12.75" customHeight="1">
      <c r="A584" s="61"/>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ht="12.75" customHeight="1">
      <c r="A585" s="61"/>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ht="12.75" customHeight="1">
      <c r="A586" s="61"/>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ht="12.75" customHeight="1">
      <c r="A587" s="61"/>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ht="12.75" customHeight="1">
      <c r="A588" s="61"/>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ht="12.75" customHeight="1">
      <c r="A589" s="61"/>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ht="12.75" customHeight="1">
      <c r="A590" s="61"/>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ht="12.75" customHeight="1">
      <c r="A591" s="61"/>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ht="12.75" customHeight="1">
      <c r="A592" s="61"/>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ht="12.75" customHeight="1">
      <c r="A593" s="61"/>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ht="12.75" customHeight="1">
      <c r="A594" s="61"/>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ht="12.75" customHeight="1">
      <c r="A595" s="61"/>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ht="12.75" customHeight="1">
      <c r="A596" s="61"/>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ht="12.75" customHeight="1">
      <c r="A597" s="61"/>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ht="12.75" customHeight="1">
      <c r="A598" s="61"/>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ht="12.75" customHeight="1">
      <c r="A599" s="61"/>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ht="12.75" customHeight="1">
      <c r="A600" s="61"/>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ht="12.75" customHeight="1">
      <c r="A601" s="61"/>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ht="12.75" customHeight="1">
      <c r="A602" s="61"/>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ht="12.75" customHeight="1">
      <c r="A603" s="61"/>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ht="12.75" customHeight="1">
      <c r="A604" s="61"/>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ht="12.75" customHeight="1">
      <c r="A605" s="61"/>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ht="12.75" customHeight="1">
      <c r="A606" s="61"/>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ht="12.75" customHeight="1">
      <c r="A607" s="61"/>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ht="12.75" customHeight="1">
      <c r="A608" s="61"/>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ht="12.75" customHeight="1">
      <c r="A609" s="61"/>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ht="12.75" customHeight="1">
      <c r="A610" s="61"/>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ht="12.75" customHeight="1">
      <c r="A611" s="61"/>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ht="12.75" customHeight="1">
      <c r="A612" s="61"/>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ht="12.75" customHeight="1">
      <c r="A613" s="61"/>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ht="12.75" customHeight="1">
      <c r="A614" s="61"/>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ht="12.75" customHeight="1">
      <c r="A615" s="61"/>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ht="12.75" customHeight="1">
      <c r="A616" s="61"/>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ht="12.75" customHeight="1">
      <c r="A617" s="61"/>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ht="12.75" customHeight="1">
      <c r="A618" s="61"/>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ht="12.75" customHeight="1">
      <c r="A619" s="61"/>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ht="12.75" customHeight="1">
      <c r="A620" s="61"/>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ht="12.75" customHeight="1">
      <c r="A621" s="61"/>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ht="12.75" customHeight="1">
      <c r="A622" s="61"/>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ht="12.75" customHeight="1">
      <c r="A623" s="61"/>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ht="12.75" customHeight="1">
      <c r="A624" s="61"/>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ht="12.75" customHeight="1">
      <c r="A625" s="61"/>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ht="12.75" customHeight="1">
      <c r="A626" s="61"/>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ht="12.75" customHeight="1">
      <c r="A627" s="61"/>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ht="12.75" customHeight="1">
      <c r="A628" s="61"/>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ht="12.75" customHeight="1">
      <c r="A629" s="61"/>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ht="12.75" customHeight="1">
      <c r="A630" s="61"/>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ht="12.75" customHeight="1">
      <c r="A631" s="61"/>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ht="12.75" customHeight="1">
      <c r="A632" s="61"/>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ht="12.75" customHeight="1">
      <c r="A633" s="61"/>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ht="12.75" customHeight="1">
      <c r="A634" s="61"/>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ht="12.75" customHeight="1">
      <c r="A635" s="61"/>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ht="12.75" customHeight="1">
      <c r="A636" s="61"/>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ht="12.75" customHeight="1">
      <c r="A637" s="61"/>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ht="12.75" customHeight="1">
      <c r="A638" s="61"/>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ht="12.75" customHeight="1">
      <c r="A639" s="61"/>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ht="12.75" customHeight="1">
      <c r="A640" s="61"/>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ht="12.75" customHeight="1">
      <c r="A641" s="61"/>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ht="12.75" customHeight="1">
      <c r="A642" s="61"/>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ht="12.75" customHeight="1">
      <c r="A643" s="61"/>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ht="12.75" customHeight="1">
      <c r="A644" s="61"/>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ht="12.75" customHeight="1">
      <c r="A645" s="61"/>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ht="12.75" customHeight="1">
      <c r="A646" s="61"/>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ht="12.75" customHeight="1">
      <c r="A647" s="61"/>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ht="12.75" customHeight="1">
      <c r="A648" s="61"/>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ht="12.75" customHeight="1">
      <c r="A649" s="61"/>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ht="12.75" customHeight="1">
      <c r="A650" s="61"/>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ht="12.75" customHeight="1">
      <c r="A651" s="61"/>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ht="12.75" customHeight="1">
      <c r="A652" s="61"/>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ht="12.75" customHeight="1">
      <c r="A653" s="61"/>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ht="12.75" customHeight="1">
      <c r="A654" s="61"/>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ht="12.75" customHeight="1">
      <c r="A655" s="61"/>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ht="12.75" customHeight="1">
      <c r="A656" s="61"/>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ht="12.75" customHeight="1">
      <c r="A657" s="61"/>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ht="12.75" customHeight="1">
      <c r="A658" s="61"/>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ht="12.75" customHeight="1">
      <c r="A659" s="61"/>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ht="12.75" customHeight="1">
      <c r="A660" s="61"/>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ht="12.75" customHeight="1">
      <c r="A661" s="61"/>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ht="12.75" customHeight="1">
      <c r="A662" s="61"/>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ht="12.75" customHeight="1">
      <c r="A663" s="61"/>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ht="12.75" customHeight="1">
      <c r="A664" s="61"/>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ht="12.75" customHeight="1">
      <c r="A665" s="61"/>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ht="12.75" customHeight="1">
      <c r="A666" s="61"/>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ht="12.75" customHeight="1">
      <c r="A667" s="61"/>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ht="12.75" customHeight="1">
      <c r="A668" s="61"/>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ht="12.75" customHeight="1">
      <c r="A669" s="61"/>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ht="12.75" customHeight="1">
      <c r="A670" s="61"/>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ht="12.75" customHeight="1">
      <c r="A671" s="61"/>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ht="12.75" customHeight="1">
      <c r="A672" s="61"/>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ht="12.75" customHeight="1">
      <c r="A673" s="61"/>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ht="12.75" customHeight="1">
      <c r="A674" s="61"/>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ht="12.75" customHeight="1">
      <c r="A675" s="61"/>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ht="12.75" customHeight="1">
      <c r="A676" s="61"/>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ht="12.75" customHeight="1">
      <c r="A677" s="61"/>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ht="12.75" customHeight="1">
      <c r="A678" s="61"/>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ht="12.75" customHeight="1">
      <c r="A679" s="61"/>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ht="12.75" customHeight="1">
      <c r="A680" s="61"/>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ht="12.75" customHeight="1">
      <c r="A681" s="61"/>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ht="12.75" customHeight="1">
      <c r="A682" s="61"/>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ht="12.75" customHeight="1">
      <c r="A683" s="61"/>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ht="12.75" customHeight="1">
      <c r="A684" s="61"/>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ht="12.75" customHeight="1">
      <c r="A685" s="61"/>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ht="12.75" customHeight="1">
      <c r="A686" s="61"/>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ht="12.75" customHeight="1">
      <c r="A687" s="61"/>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ht="12.75" customHeight="1">
      <c r="A688" s="61"/>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ht="12.75" customHeight="1">
      <c r="A689" s="61"/>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ht="12.75" customHeight="1">
      <c r="A690" s="61"/>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ht="12.75" customHeight="1">
      <c r="A691" s="61"/>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ht="12.75" customHeight="1">
      <c r="A692" s="61"/>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ht="12.75" customHeight="1">
      <c r="A693" s="61"/>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ht="12.75" customHeight="1">
      <c r="A694" s="61"/>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ht="12.75" customHeight="1">
      <c r="A695" s="61"/>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ht="12.75" customHeight="1">
      <c r="A696" s="61"/>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ht="12.75" customHeight="1">
      <c r="A697" s="61"/>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ht="12.75" customHeight="1">
      <c r="A698" s="61"/>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ht="12.75" customHeight="1">
      <c r="A699" s="61"/>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ht="12.75" customHeight="1">
      <c r="A700" s="61"/>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ht="12.75" customHeight="1">
      <c r="A701" s="61"/>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ht="12.75" customHeight="1">
      <c r="A702" s="61"/>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ht="12.75" customHeight="1">
      <c r="A703" s="61"/>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ht="12.75" customHeight="1">
      <c r="A704" s="61"/>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ht="12.75" customHeight="1">
      <c r="A705" s="61"/>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ht="12.75" customHeight="1">
      <c r="A706" s="61"/>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ht="12.75" customHeight="1">
      <c r="A707" s="61"/>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ht="12.75" customHeight="1">
      <c r="A708" s="61"/>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ht="12.75" customHeight="1">
      <c r="A709" s="61"/>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ht="12.75" customHeight="1">
      <c r="A710" s="61"/>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ht="12.75" customHeight="1">
      <c r="A711" s="61"/>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ht="12.75" customHeight="1">
      <c r="A712" s="61"/>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ht="12.75" customHeight="1">
      <c r="A713" s="61"/>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ht="12.75" customHeight="1">
      <c r="A714" s="61"/>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ht="12.75" customHeight="1">
      <c r="A715" s="61"/>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ht="12.75" customHeight="1">
      <c r="A716" s="61"/>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ht="12.75" customHeight="1">
      <c r="A717" s="61"/>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ht="12.75" customHeight="1">
      <c r="A718" s="61"/>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ht="12.75" customHeight="1">
      <c r="A719" s="61"/>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ht="12.75" customHeight="1">
      <c r="A720" s="61"/>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ht="12.75" customHeight="1">
      <c r="A721" s="61"/>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ht="12.75" customHeight="1">
      <c r="A722" s="61"/>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ht="12.75" customHeight="1">
      <c r="A723" s="61"/>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ht="12.75" customHeight="1">
      <c r="A724" s="61"/>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ht="12.75" customHeight="1">
      <c r="A725" s="61"/>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ht="12.75" customHeight="1">
      <c r="A726" s="61"/>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ht="12.75" customHeight="1">
      <c r="A727" s="61"/>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ht="12.75" customHeight="1">
      <c r="A728" s="61"/>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ht="12.75" customHeight="1">
      <c r="A729" s="61"/>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ht="12.75" customHeight="1">
      <c r="A730" s="61"/>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ht="12.75" customHeight="1">
      <c r="A731" s="61"/>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ht="12.75" customHeight="1">
      <c r="A732" s="61"/>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ht="12.75" customHeight="1">
      <c r="A733" s="61"/>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ht="12.75" customHeight="1">
      <c r="A734" s="61"/>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ht="12.75" customHeight="1">
      <c r="A735" s="61"/>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ht="12.75" customHeight="1">
      <c r="A736" s="61"/>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ht="12.75" customHeight="1">
      <c r="A737" s="61"/>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ht="12.75" customHeight="1">
      <c r="A738" s="61"/>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ht="12.75" customHeight="1">
      <c r="A739" s="61"/>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ht="12.75" customHeight="1">
      <c r="A740" s="61"/>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ht="12.75" customHeight="1">
      <c r="A741" s="61"/>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ht="12.75" customHeight="1">
      <c r="A742" s="61"/>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ht="12.75" customHeight="1">
      <c r="A743" s="61"/>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ht="12.75" customHeight="1">
      <c r="A744" s="61"/>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ht="12.75" customHeight="1">
      <c r="A745" s="61"/>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ht="12.75" customHeight="1">
      <c r="A746" s="61"/>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ht="12.75" customHeight="1">
      <c r="A747" s="61"/>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ht="12.75" customHeight="1">
      <c r="A748" s="61"/>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ht="12.75" customHeight="1">
      <c r="A749" s="61"/>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ht="12.75" customHeight="1">
      <c r="A750" s="61"/>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ht="12.75" customHeight="1">
      <c r="A751" s="61"/>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ht="12.75" customHeight="1">
      <c r="A752" s="61"/>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ht="12.75" customHeight="1">
      <c r="A753" s="61"/>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ht="12.75" customHeight="1">
      <c r="A754" s="61"/>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ht="12.75" customHeight="1">
      <c r="A755" s="61"/>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ht="12.75" customHeight="1">
      <c r="A756" s="61"/>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ht="12.75" customHeight="1">
      <c r="A757" s="61"/>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ht="12.75" customHeight="1">
      <c r="A758" s="61"/>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ht="12.75" customHeight="1">
      <c r="A759" s="61"/>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ht="12.75" customHeight="1">
      <c r="A760" s="61"/>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ht="12.75" customHeight="1">
      <c r="A761" s="61"/>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ht="12.75" customHeight="1">
      <c r="A762" s="61"/>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ht="12.75" customHeight="1">
      <c r="A763" s="61"/>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ht="12.75" customHeight="1">
      <c r="A764" s="61"/>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ht="12.75" customHeight="1">
      <c r="A765" s="61"/>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ht="12.75" customHeight="1">
      <c r="A766" s="61"/>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ht="12.75" customHeight="1">
      <c r="A767" s="61"/>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ht="12.75" customHeight="1">
      <c r="A768" s="61"/>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ht="12.75" customHeight="1">
      <c r="A769" s="61"/>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ht="12.75" customHeight="1">
      <c r="A770" s="61"/>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ht="12.75" customHeight="1">
      <c r="A771" s="61"/>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ht="12.75" customHeight="1">
      <c r="A772" s="61"/>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ht="12.75" customHeight="1">
      <c r="A773" s="61"/>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ht="12.75" customHeight="1">
      <c r="A774" s="61"/>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ht="12.75" customHeight="1">
      <c r="A775" s="61"/>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ht="12.75" customHeight="1">
      <c r="A776" s="61"/>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ht="12.75" customHeight="1">
      <c r="A777" s="61"/>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ht="12.75" customHeight="1">
      <c r="A778" s="61"/>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ht="12.75" customHeight="1">
      <c r="A779" s="61"/>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ht="12.75" customHeight="1">
      <c r="A780" s="61"/>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ht="12.75" customHeight="1">
      <c r="A781" s="61"/>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ht="12.75" customHeight="1">
      <c r="A782" s="61"/>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ht="12.75" customHeight="1">
      <c r="A783" s="61"/>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ht="12.75" customHeight="1">
      <c r="A784" s="61"/>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ht="12.75" customHeight="1">
      <c r="A785" s="61"/>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ht="12.75" customHeight="1">
      <c r="A786" s="61"/>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ht="12.75" customHeight="1">
      <c r="A787" s="61"/>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ht="12.75" customHeight="1">
      <c r="A788" s="61"/>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ht="12.75" customHeight="1">
      <c r="A789" s="61"/>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ht="12.75" customHeight="1">
      <c r="A790" s="61"/>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ht="12.75" customHeight="1">
      <c r="A791" s="61"/>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ht="12.75" customHeight="1">
      <c r="A792" s="61"/>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ht="12.75" customHeight="1">
      <c r="A793" s="61"/>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ht="12.75" customHeight="1">
      <c r="A794" s="61"/>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ht="12.75" customHeight="1">
      <c r="A795" s="61"/>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ht="12.75" customHeight="1">
      <c r="A796" s="61"/>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ht="12.75" customHeight="1">
      <c r="A797" s="61"/>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ht="12.75" customHeight="1">
      <c r="A798" s="61"/>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ht="12.75" customHeight="1">
      <c r="A799" s="61"/>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ht="12.75" customHeight="1">
      <c r="A800" s="61"/>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ht="12.75" customHeight="1">
      <c r="A801" s="61"/>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ht="12.75" customHeight="1">
      <c r="A802" s="61"/>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ht="12.75" customHeight="1">
      <c r="A803" s="61"/>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ht="12.75" customHeight="1">
      <c r="A804" s="61"/>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ht="12.75" customHeight="1">
      <c r="A805" s="61"/>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ht="12.75" customHeight="1">
      <c r="A806" s="61"/>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ht="12.75" customHeight="1">
      <c r="A807" s="61"/>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ht="12.75" customHeight="1">
      <c r="A808" s="61"/>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ht="12.75" customHeight="1">
      <c r="A809" s="61"/>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ht="12.75" customHeight="1">
      <c r="A810" s="61"/>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ht="12.75" customHeight="1">
      <c r="A811" s="61"/>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ht="12.75" customHeight="1">
      <c r="A812" s="61"/>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ht="12.75" customHeight="1">
      <c r="A813" s="61"/>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ht="12.75" customHeight="1">
      <c r="A814" s="61"/>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ht="12.75" customHeight="1">
      <c r="A815" s="61"/>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ht="12.75" customHeight="1">
      <c r="A816" s="61"/>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ht="12.75" customHeight="1">
      <c r="A817" s="61"/>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ht="12.75" customHeight="1">
      <c r="A818" s="61"/>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ht="12.75" customHeight="1">
      <c r="A819" s="61"/>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ht="12.75" customHeight="1">
      <c r="A820" s="61"/>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ht="12.75" customHeight="1">
      <c r="A821" s="61"/>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ht="12.75" customHeight="1">
      <c r="A822" s="61"/>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ht="12.75" customHeight="1">
      <c r="A823" s="61"/>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ht="12.75" customHeight="1">
      <c r="A824" s="61"/>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ht="12.75" customHeight="1">
      <c r="A825" s="61"/>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ht="12.75" customHeight="1">
      <c r="A826" s="61"/>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ht="12.75" customHeight="1">
      <c r="A827" s="61"/>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ht="12.75" customHeight="1">
      <c r="A828" s="61"/>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ht="12.75" customHeight="1">
      <c r="A829" s="61"/>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ht="12.75" customHeight="1">
      <c r="A830" s="61"/>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ht="12.75" customHeight="1">
      <c r="A831" s="61"/>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ht="12.75" customHeight="1">
      <c r="A832" s="61"/>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ht="12.75" customHeight="1">
      <c r="A833" s="61"/>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ht="12.75" customHeight="1">
      <c r="A834" s="61"/>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ht="12.75" customHeight="1">
      <c r="A835" s="61"/>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ht="12.75" customHeight="1">
      <c r="A836" s="61"/>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ht="12.75" customHeight="1">
      <c r="A837" s="61"/>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ht="12.75" customHeight="1">
      <c r="A838" s="61"/>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ht="12.75" customHeight="1">
      <c r="A839" s="61"/>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ht="12.75" customHeight="1">
      <c r="A840" s="61"/>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ht="12.75" customHeight="1">
      <c r="A841" s="61"/>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ht="12.75" customHeight="1">
      <c r="A842" s="61"/>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ht="12.75" customHeight="1">
      <c r="A843" s="61"/>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ht="12.75" customHeight="1">
      <c r="A844" s="61"/>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ht="12.75" customHeight="1">
      <c r="A845" s="61"/>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ht="12.75" customHeight="1">
      <c r="A846" s="61"/>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ht="12.75" customHeight="1">
      <c r="A847" s="61"/>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ht="12.75" customHeight="1">
      <c r="A848" s="61"/>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ht="12.75" customHeight="1">
      <c r="A849" s="61"/>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ht="12.75" customHeight="1">
      <c r="A850" s="61"/>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ht="12.75" customHeight="1">
      <c r="A851" s="61"/>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ht="12.75" customHeight="1">
      <c r="A852" s="61"/>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ht="12.75" customHeight="1">
      <c r="A853" s="61"/>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ht="12.75" customHeight="1">
      <c r="A854" s="61"/>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ht="12.75" customHeight="1">
      <c r="A855" s="61"/>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ht="12.75" customHeight="1">
      <c r="A856" s="61"/>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ht="12.75" customHeight="1">
      <c r="A857" s="61"/>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ht="12.75" customHeight="1">
      <c r="A858" s="61"/>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ht="12.75" customHeight="1">
      <c r="A859" s="61"/>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ht="12.75" customHeight="1">
      <c r="A860" s="61"/>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ht="12.75" customHeight="1">
      <c r="A861" s="61"/>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ht="12.75" customHeight="1">
      <c r="A862" s="61"/>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ht="12.75" customHeight="1">
      <c r="A863" s="61"/>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ht="12.75" customHeight="1">
      <c r="A864" s="61"/>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ht="12.75" customHeight="1">
      <c r="A865" s="61"/>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ht="12.75" customHeight="1">
      <c r="A866" s="61"/>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ht="12.75" customHeight="1">
      <c r="A867" s="61"/>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ht="12.75" customHeight="1">
      <c r="A868" s="61"/>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ht="12.75" customHeight="1">
      <c r="A869" s="61"/>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ht="12.75" customHeight="1">
      <c r="A870" s="61"/>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ht="12.75" customHeight="1">
      <c r="A871" s="61"/>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ht="12.75" customHeight="1">
      <c r="A872" s="61"/>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ht="12.75" customHeight="1">
      <c r="A873" s="61"/>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ht="12.75" customHeight="1">
      <c r="A874" s="61"/>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ht="12.75" customHeight="1">
      <c r="A875" s="61"/>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ht="12.75" customHeight="1">
      <c r="A876" s="61"/>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ht="12.75" customHeight="1">
      <c r="A877" s="61"/>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ht="12.75" customHeight="1">
      <c r="A878" s="61"/>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ht="12.75" customHeight="1">
      <c r="A879" s="61"/>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ht="12.75" customHeight="1">
      <c r="A880" s="61"/>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ht="12.75" customHeight="1">
      <c r="A881" s="61"/>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ht="12.75" customHeight="1">
      <c r="A882" s="61"/>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ht="12.75" customHeight="1">
      <c r="A883" s="61"/>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ht="12.75" customHeight="1">
      <c r="A884" s="61"/>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ht="12.75" customHeight="1">
      <c r="A885" s="61"/>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ht="12.75" customHeight="1">
      <c r="A886" s="61"/>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ht="12.75" customHeight="1">
      <c r="A887" s="61"/>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ht="12.75" customHeight="1">
      <c r="A888" s="61"/>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ht="12.75" customHeight="1">
      <c r="A889" s="61"/>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ht="12.75" customHeight="1">
      <c r="A890" s="61"/>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ht="12.75" customHeight="1">
      <c r="A891" s="61"/>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ht="12.75" customHeight="1">
      <c r="A892" s="61"/>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ht="12.75" customHeight="1">
      <c r="A893" s="61"/>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ht="12.75" customHeight="1">
      <c r="A894" s="61"/>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ht="12.75" customHeight="1">
      <c r="A895" s="61"/>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ht="12.75" customHeight="1">
      <c r="A896" s="61"/>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ht="12.75" customHeight="1">
      <c r="A897" s="61"/>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ht="12.75" customHeight="1">
      <c r="A898" s="61"/>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ht="12.75" customHeight="1">
      <c r="A899" s="61"/>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ht="12.75" customHeight="1">
      <c r="A900" s="61"/>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ht="12.75" customHeight="1">
      <c r="A901" s="61"/>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ht="12.75" customHeight="1">
      <c r="A902" s="61"/>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ht="12.75" customHeight="1">
      <c r="A903" s="61"/>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ht="12.75" customHeight="1">
      <c r="A904" s="61"/>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ht="12.75" customHeight="1">
      <c r="A905" s="61"/>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ht="12.75" customHeight="1">
      <c r="A906" s="61"/>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ht="12.75" customHeight="1">
      <c r="A907" s="61"/>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ht="12.75" customHeight="1">
      <c r="A908" s="61"/>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ht="12.75" customHeight="1">
      <c r="A909" s="61"/>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ht="12.75" customHeight="1">
      <c r="A910" s="61"/>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ht="12.75" customHeight="1">
      <c r="A911" s="61"/>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ht="12.75" customHeight="1">
      <c r="A912" s="61"/>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ht="12.75" customHeight="1">
      <c r="A913" s="61"/>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ht="12.75" customHeight="1">
      <c r="A914" s="61"/>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ht="12.75" customHeight="1">
      <c r="A915" s="61"/>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ht="12.75" customHeight="1">
      <c r="A916" s="61"/>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ht="12.75" customHeight="1">
      <c r="A917" s="61"/>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ht="12.75" customHeight="1">
      <c r="A918" s="61"/>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ht="12.75" customHeight="1">
      <c r="A919" s="61"/>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ht="12.75" customHeight="1">
      <c r="A920" s="61"/>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ht="12.75" customHeight="1">
      <c r="A921" s="61"/>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ht="12.75" customHeight="1">
      <c r="A922" s="61"/>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ht="12.75" customHeight="1">
      <c r="A923" s="61"/>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ht="12.75" customHeight="1">
      <c r="A924" s="61"/>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ht="12.75" customHeight="1">
      <c r="A925" s="61"/>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ht="12.75" customHeight="1">
      <c r="A926" s="61"/>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ht="12.75" customHeight="1">
      <c r="A927" s="61"/>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ht="12.75" customHeight="1">
      <c r="A928" s="61"/>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ht="12.75" customHeight="1">
      <c r="A929" s="61"/>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ht="12.75" customHeight="1">
      <c r="A930" s="61"/>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ht="12.75" customHeight="1">
      <c r="A931" s="61"/>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ht="12.75" customHeight="1">
      <c r="A932" s="61"/>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ht="12.75" customHeight="1">
      <c r="A933" s="61"/>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ht="12.75" customHeight="1">
      <c r="A934" s="61"/>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ht="12.75" customHeight="1">
      <c r="A935" s="61"/>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ht="12.75" customHeight="1">
      <c r="A936" s="61"/>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ht="12.75" customHeight="1">
      <c r="A937" s="61"/>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ht="12.75" customHeight="1">
      <c r="A938" s="61"/>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ht="12.75" customHeight="1">
      <c r="A939" s="61"/>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ht="12.75" customHeight="1">
      <c r="A940" s="61"/>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ht="12.75" customHeight="1">
      <c r="A941" s="61"/>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ht="12.75" customHeight="1">
      <c r="A942" s="61"/>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ht="12.75" customHeight="1">
      <c r="A943" s="61"/>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ht="12.75" customHeight="1">
      <c r="A944" s="61"/>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ht="12.75" customHeight="1">
      <c r="A945" s="61"/>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ht="12.75" customHeight="1">
      <c r="A946" s="61"/>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ht="12.75" customHeight="1">
      <c r="A947" s="61"/>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ht="12.75" customHeight="1">
      <c r="A948" s="61"/>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ht="12.75" customHeight="1">
      <c r="A949" s="61"/>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ht="12.75" customHeight="1">
      <c r="A950" s="61"/>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ht="12.75" customHeight="1">
      <c r="A951" s="61"/>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ht="12.75" customHeight="1">
      <c r="A952" s="61"/>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ht="12.75" customHeight="1">
      <c r="A953" s="61"/>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ht="12.75" customHeight="1">
      <c r="A954" s="61"/>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ht="12.75" customHeight="1">
      <c r="A955" s="61"/>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ht="12.75" customHeight="1">
      <c r="A956" s="61"/>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ht="12.75" customHeight="1">
      <c r="A957" s="61"/>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ht="12.75" customHeight="1">
      <c r="A958" s="61"/>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ht="12.75" customHeight="1">
      <c r="A959" s="61"/>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ht="12.75" customHeight="1">
      <c r="A960" s="61"/>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ht="12.75" customHeight="1">
      <c r="A961" s="61"/>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ht="12.75" customHeight="1">
      <c r="A962" s="61"/>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ht="12.75" customHeight="1">
      <c r="A963" s="61"/>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ht="12.75" customHeight="1">
      <c r="A964" s="61"/>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ht="12.75" customHeight="1">
      <c r="A965" s="61"/>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ht="12.75" customHeight="1">
      <c r="A966" s="61"/>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ht="12.75" customHeight="1">
      <c r="A967" s="61"/>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ht="12.75" customHeight="1">
      <c r="A968" s="61"/>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ht="12.75" customHeight="1">
      <c r="A969" s="61"/>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ht="12.75" customHeight="1">
      <c r="A970" s="61"/>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ht="12.75" customHeight="1">
      <c r="A971" s="61"/>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ht="12.75" customHeight="1">
      <c r="A972" s="61"/>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ht="12.75" customHeight="1">
      <c r="A973" s="61"/>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ht="12.75" customHeight="1">
      <c r="A974" s="61"/>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ht="12.75" customHeight="1">
      <c r="A975" s="61"/>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ht="12.75" customHeight="1">
      <c r="A976" s="61"/>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ht="12.75" customHeight="1">
      <c r="A977" s="61"/>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ht="12.75" customHeight="1">
      <c r="A978" s="61"/>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ht="12.75" customHeight="1">
      <c r="A979" s="61"/>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ht="12.75" customHeight="1">
      <c r="A980" s="61"/>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ht="12.75" customHeight="1">
      <c r="A981" s="61"/>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ht="12.75" customHeight="1">
      <c r="A982" s="61"/>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ht="12.75" customHeight="1">
      <c r="A983" s="61"/>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ht="12.75" customHeight="1">
      <c r="A984" s="61"/>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ht="12.75" customHeight="1">
      <c r="A985" s="61"/>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ht="12.75" customHeight="1">
      <c r="A986" s="61"/>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ht="12.75" customHeight="1">
      <c r="A987" s="61"/>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ht="12.75" customHeight="1">
      <c r="A988" s="61"/>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ht="12.75" customHeight="1">
      <c r="A989" s="61"/>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ht="12.75" customHeight="1">
      <c r="A990" s="61"/>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ht="12.75" customHeight="1">
      <c r="A991" s="61"/>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ht="12.75" customHeight="1">
      <c r="A992" s="61"/>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ht="12.75" customHeight="1">
      <c r="A993" s="61"/>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ht="12.75" customHeight="1">
      <c r="A994" s="61"/>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ht="12.75" customHeight="1">
      <c r="A995" s="61"/>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ht="12.75" customHeight="1">
      <c r="A996" s="61"/>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ht="12.75" customHeight="1">
      <c r="A997" s="61"/>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ht="12.75" customHeight="1">
      <c r="A998" s="61"/>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ht="12.75" customHeight="1">
      <c r="A999" s="61"/>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ht="12.75" customHeight="1">
      <c r="A1000" s="61"/>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mergeCells count="2">
    <mergeCell ref="A1:E1"/>
    <mergeCell ref="G5:J9"/>
  </mergeCells>
  <printOptions/>
  <pageMargins bottom="1.025" footer="0.0" header="0.0" left="0.7875" right="0.7875" top="1.025"/>
  <pageSetup paperSize="9" orientation="portrait"/>
  <headerFooter>
    <oddHeader>&amp;C&amp;A</oddHeader>
    <oddFooter>&amp;CPage &amp;P</oddFooter>
  </headerFooter>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4.38"/>
    <col customWidth="1" min="4" max="4" width="51.13"/>
    <col customWidth="1" min="5" max="5" width="4.63"/>
    <col customWidth="1" min="6" max="6" width="15.5"/>
    <col customWidth="1" min="7" max="7" width="24.88"/>
    <col customWidth="1" min="8" max="8" width="11.63"/>
    <col customWidth="1" min="9" max="9" width="18.63"/>
    <col customWidth="1" min="10" max="10" width="11.0"/>
    <col customWidth="1" min="11" max="11" width="15.5"/>
    <col customWidth="1" min="12" max="15" width="11.0"/>
    <col customWidth="1" min="16" max="26" width="11.5"/>
  </cols>
  <sheetData>
    <row r="1" ht="12.75" customHeight="1">
      <c r="C1" s="62" t="s">
        <v>309</v>
      </c>
      <c r="D1" s="63"/>
    </row>
    <row r="2" ht="12.75" customHeight="1">
      <c r="C2" s="64" t="s">
        <v>310</v>
      </c>
      <c r="D2" s="65"/>
    </row>
    <row r="3" ht="15.0" customHeight="1">
      <c r="C3" s="66" t="s">
        <v>311</v>
      </c>
      <c r="D3" s="67"/>
      <c r="K3" s="52" t="s">
        <v>312</v>
      </c>
      <c r="L3" s="32"/>
      <c r="M3" s="32"/>
      <c r="N3" s="32"/>
      <c r="O3" s="33"/>
    </row>
    <row r="4" ht="12.75" customHeight="1">
      <c r="F4" s="68" t="str">
        <f>VLOOKUP($E$5,'Exo 05 - Clients'!$B$5:$E$30,2,0)</f>
        <v>MONSIEUR SERY HUBERT</v>
      </c>
      <c r="G4" s="69"/>
      <c r="K4" s="35"/>
      <c r="O4" s="36"/>
    </row>
    <row r="5" ht="12.75" customHeight="1">
      <c r="D5" s="70" t="s">
        <v>313</v>
      </c>
      <c r="E5" s="71">
        <v>5.0</v>
      </c>
      <c r="F5" s="68" t="str">
        <f>VLOOKUP($E$5,'Exo 05 - Clients'!$B$5:$E$30,3,0)</f>
        <v>1 RUELLE DES AJONCS</v>
      </c>
      <c r="G5" s="69"/>
      <c r="K5" s="35"/>
      <c r="O5" s="36"/>
    </row>
    <row r="6" ht="12.75" customHeight="1">
      <c r="D6" s="72"/>
      <c r="F6" s="68" t="str">
        <f>VLOOKUP($E$5,'Exo 05 - Clients'!$B$5:$E$30,4,0)</f>
        <v>97410 SAINT PIERRE</v>
      </c>
      <c r="G6" s="69"/>
      <c r="K6" s="35"/>
      <c r="O6" s="36"/>
    </row>
    <row r="7" ht="12.75" customHeight="1">
      <c r="D7" s="72"/>
      <c r="F7" s="72"/>
      <c r="K7" s="35"/>
      <c r="O7" s="36"/>
    </row>
    <row r="8" ht="12.75" customHeight="1">
      <c r="D8" s="72"/>
      <c r="K8" s="35"/>
      <c r="O8" s="36"/>
    </row>
    <row r="9" ht="20.25" customHeight="1">
      <c r="C9" s="73" t="s">
        <v>314</v>
      </c>
      <c r="D9" s="6"/>
      <c r="E9" s="6"/>
      <c r="F9" s="6"/>
      <c r="G9" s="6"/>
      <c r="H9" s="6"/>
      <c r="I9" s="74"/>
      <c r="K9" s="35"/>
      <c r="O9" s="36"/>
    </row>
    <row r="10" ht="12.75" customHeight="1">
      <c r="F10" s="75" t="s">
        <v>315</v>
      </c>
      <c r="G10" s="76">
        <v>45726.0</v>
      </c>
      <c r="K10" s="35"/>
      <c r="O10" s="36"/>
    </row>
    <row r="11" ht="12.75" customHeight="1">
      <c r="F11" s="75"/>
      <c r="G11" s="76"/>
      <c r="H11" s="76"/>
      <c r="I11" s="76"/>
      <c r="K11" s="38"/>
      <c r="L11" s="39"/>
      <c r="M11" s="39"/>
      <c r="N11" s="39"/>
      <c r="O11" s="40"/>
    </row>
    <row r="12" ht="30.0" customHeight="1">
      <c r="C12" s="77" t="s">
        <v>316</v>
      </c>
      <c r="D12" s="77" t="s">
        <v>317</v>
      </c>
      <c r="E12" s="77" t="s">
        <v>318</v>
      </c>
      <c r="F12" s="77" t="s">
        <v>319</v>
      </c>
      <c r="G12" s="77" t="s">
        <v>320</v>
      </c>
      <c r="H12" s="78" t="s">
        <v>321</v>
      </c>
      <c r="I12" s="77" t="s">
        <v>322</v>
      </c>
    </row>
    <row r="13" ht="12.75" customHeight="1">
      <c r="C13" s="79">
        <v>5.0</v>
      </c>
      <c r="D13" s="80" t="str">
        <f>IFERROR(VLOOKUP($C13,'Exo 05 - Pièces'!$B$3:$E$53,2,0),"Pièce inconnue")</f>
        <v>Graveur DVD-ROM 2x</v>
      </c>
      <c r="E13" s="81">
        <v>1.0</v>
      </c>
      <c r="F13" s="82">
        <f>IFERROR(VLOOKUP($C13,'Exo 05 - Pièces'!$B$3:$E$53,4,0),"Prix inconnu")</f>
        <v>52</v>
      </c>
      <c r="G13" s="83"/>
      <c r="H13" s="84">
        <f t="shared" ref="H13:I13" si="1">IF(ISNUMBER($F13), $F13,0)</f>
        <v>52</v>
      </c>
      <c r="I13" s="84">
        <f t="shared" si="1"/>
        <v>52</v>
      </c>
    </row>
    <row r="14" ht="12.75" customHeight="1">
      <c r="C14" s="79">
        <v>30.0</v>
      </c>
      <c r="D14" s="80" t="str">
        <f>IFERROR(VLOOKUP($C14,'Exo 05 - Pièces'!$B$3:$E$53,2,0),"Pièce inconnue")</f>
        <v>Carte mère ASUS pour Intel</v>
      </c>
      <c r="E14" s="81">
        <v>3.0</v>
      </c>
      <c r="F14" s="82">
        <f>IFERROR(VLOOKUP($C14,'Exo 05 - Pièces'!$B$3:$E$53,4,0),"Prix inconnu")</f>
        <v>70</v>
      </c>
      <c r="G14" s="83"/>
      <c r="H14" s="84">
        <f t="shared" ref="H14:I14" si="2">IF(ISNUMBER($F14), $F14,0)</f>
        <v>70</v>
      </c>
      <c r="I14" s="84">
        <f t="shared" si="2"/>
        <v>70</v>
      </c>
    </row>
    <row r="15" ht="12.75" customHeight="1">
      <c r="C15" s="79">
        <v>4.0</v>
      </c>
      <c r="D15" s="80" t="str">
        <f>IFERROR(VLOOKUP($C15,'Exo 05 - Pièces'!$B$3:$E$53,2,0),"Pièce inconnue")</f>
        <v>Lecteur DVD-ROM 52x</v>
      </c>
      <c r="E15" s="81">
        <v>1.0</v>
      </c>
      <c r="F15" s="82">
        <f>IFERROR(VLOOKUP($C15,'Exo 05 - Pièces'!$B$3:$E$53,4,0),"Prix inconnu")</f>
        <v>18</v>
      </c>
      <c r="G15" s="83"/>
      <c r="H15" s="84">
        <f t="shared" ref="H15:I15" si="3">IF(ISNUMBER($F15), $F15,0)</f>
        <v>18</v>
      </c>
      <c r="I15" s="84">
        <f t="shared" si="3"/>
        <v>18</v>
      </c>
    </row>
    <row r="16" ht="12.75" customHeight="1">
      <c r="C16" s="79">
        <v>9.0</v>
      </c>
      <c r="D16" s="80" t="str">
        <f>IFERROR(VLOOKUP($C16,'Exo 05 - Pièces'!$B$3:$E$53,2,0),"Pièce inconnue")</f>
        <v>Ecran plat Sony 17 pouces</v>
      </c>
      <c r="E16" s="81">
        <v>5.0</v>
      </c>
      <c r="F16" s="82">
        <f>IFERROR(VLOOKUP($C16,'Exo 05 - Pièces'!$B$3:$E$53,4,0),"Prix inconnu")</f>
        <v>560</v>
      </c>
      <c r="G16" s="83"/>
      <c r="H16" s="84">
        <f t="shared" ref="H16:I16" si="4">IF(ISNUMBER($F16), $F16,0)</f>
        <v>560</v>
      </c>
      <c r="I16" s="84">
        <f t="shared" si="4"/>
        <v>560</v>
      </c>
    </row>
    <row r="17" ht="12.75" customHeight="1">
      <c r="C17" s="79">
        <v>60.0</v>
      </c>
      <c r="D17" s="80" t="str">
        <f>IFERROR(VLOOKUP($C17,'Exo 05 - Pièces'!$B$3:$E$53,2,0),"Pièce inconnue")</f>
        <v>Pièce inconnue</v>
      </c>
      <c r="E17" s="81">
        <v>1.0</v>
      </c>
      <c r="F17" s="82" t="str">
        <f>IFERROR(VLOOKUP($C17,'Exo 05 - Pièces'!$B$3:$E$53,4,0),"Prix inconnu")</f>
        <v>Prix inconnu</v>
      </c>
      <c r="G17" s="83"/>
      <c r="H17" s="84">
        <f t="shared" ref="H17:I17" si="5">IF(ISNUMBER($F17), $F17,0)</f>
        <v>0</v>
      </c>
      <c r="I17" s="84">
        <f t="shared" si="5"/>
        <v>0</v>
      </c>
    </row>
    <row r="18" ht="12.75" customHeight="1">
      <c r="C18" s="79">
        <v>7.0</v>
      </c>
      <c r="D18" s="80" t="str">
        <f>IFERROR(VLOOKUP($C18,'Exo 05 - Pièces'!$B$3:$E$53,2,0),"Pièce inconnue")</f>
        <v>Graveur DVD-ROM 8x</v>
      </c>
      <c r="E18" s="81">
        <v>6.0</v>
      </c>
      <c r="F18" s="82">
        <f>IFERROR(VLOOKUP($C18,'Exo 05 - Pièces'!$B$3:$E$53,4,0),"Prix inconnu")</f>
        <v>60</v>
      </c>
      <c r="G18" s="83"/>
      <c r="H18" s="84">
        <f t="shared" ref="H18:I18" si="6">IF(ISNUMBER($F18), $F18,0)</f>
        <v>60</v>
      </c>
      <c r="I18" s="84">
        <f t="shared" si="6"/>
        <v>60</v>
      </c>
    </row>
    <row r="19" ht="12.75" customHeight="1">
      <c r="C19" s="79">
        <v>1.0</v>
      </c>
      <c r="D19" s="80" t="str">
        <f>IFERROR(VLOOKUP($C19,'Exo 05 - Pièces'!$B$3:$E$53,2,0),"Pièce inconnue")</f>
        <v>Lecteur de disquette 3,5 pouces</v>
      </c>
      <c r="E19" s="81">
        <v>1.0</v>
      </c>
      <c r="F19" s="82">
        <f>IFERROR(VLOOKUP($C19,'Exo 05 - Pièces'!$B$3:$E$53,4,0),"Prix inconnu")</f>
        <v>8</v>
      </c>
      <c r="G19" s="83"/>
      <c r="H19" s="84">
        <f t="shared" ref="H19:I19" si="7">IF(ISNUMBER($F19), $F19,0)</f>
        <v>8</v>
      </c>
      <c r="I19" s="84">
        <f t="shared" si="7"/>
        <v>8</v>
      </c>
    </row>
    <row r="20" ht="12.75" customHeight="1">
      <c r="C20" s="79">
        <v>3.0</v>
      </c>
      <c r="D20" s="80" t="str">
        <f>IFERROR(VLOOKUP($C20,'Exo 05 - Pièces'!$B$3:$E$53,2,0),"Pièce inconnue")</f>
        <v>Lecteur DVD-ROM 24x</v>
      </c>
      <c r="E20" s="81">
        <v>1.0</v>
      </c>
      <c r="F20" s="82">
        <f>IFERROR(VLOOKUP($C20,'Exo 05 - Pièces'!$B$3:$E$53,4,0),"Prix inconnu")</f>
        <v>16</v>
      </c>
      <c r="G20" s="83"/>
      <c r="H20" s="84">
        <f t="shared" ref="H20:I20" si="8">IF(ISNUMBER($F20), $F20,0)</f>
        <v>16</v>
      </c>
      <c r="I20" s="84">
        <f t="shared" si="8"/>
        <v>16</v>
      </c>
    </row>
    <row r="21" ht="12.75" customHeight="1">
      <c r="C21" s="79">
        <v>70.0</v>
      </c>
      <c r="D21" s="80" t="str">
        <f>IFERROR(VLOOKUP($C21,'Exo 05 - Pièces'!$B$3:$E$53,2,0),"Pièce inconnue")</f>
        <v>Pièce inconnue</v>
      </c>
      <c r="E21" s="81">
        <v>10.0</v>
      </c>
      <c r="F21" s="82" t="str">
        <f>IFERROR(VLOOKUP($C21,'Exo 05 - Pièces'!$B$3:$E$53,4,0),"Prix inconnu")</f>
        <v>Prix inconnu</v>
      </c>
      <c r="G21" s="83"/>
      <c r="H21" s="84">
        <f t="shared" ref="H21:I21" si="9">IF(ISNUMBER($F21), $F21,0)</f>
        <v>0</v>
      </c>
      <c r="I21" s="84">
        <f t="shared" si="9"/>
        <v>0</v>
      </c>
    </row>
    <row r="22" ht="12.75" customHeight="1">
      <c r="C22" s="79">
        <v>10.0</v>
      </c>
      <c r="D22" s="80" t="str">
        <f>IFERROR(VLOOKUP($C22,'Exo 05 - Pièces'!$B$3:$E$53,2,0),"Pièce inconnue")</f>
        <v>Ecran plat Sony 19 pouces</v>
      </c>
      <c r="E22" s="81">
        <v>1.0</v>
      </c>
      <c r="F22" s="82">
        <f>IFERROR(VLOOKUP($C22,'Exo 05 - Pièces'!$B$3:$E$53,4,0),"Prix inconnu")</f>
        <v>650</v>
      </c>
      <c r="G22" s="83"/>
      <c r="H22" s="84">
        <f t="shared" ref="H22:I22" si="10">IF(ISNUMBER($F22), $F22,0)</f>
        <v>650</v>
      </c>
      <c r="I22" s="84">
        <f t="shared" si="10"/>
        <v>650</v>
      </c>
    </row>
    <row r="23" ht="12.75" customHeight="1">
      <c r="C23" s="85">
        <v>11.0</v>
      </c>
      <c r="D23" s="80" t="str">
        <f>IFERROR(VLOOKUP($C23,'Exo 05 - Pièces'!$B$3:$E$53,2,0),"Pièce inconnue")</f>
        <v>Ecran cathodique Hyundai 17 pouces</v>
      </c>
      <c r="E23" s="86">
        <v>1.0</v>
      </c>
      <c r="F23" s="82">
        <f>IFERROR(VLOOKUP($C23,'Exo 05 - Pièces'!$B$3:$E$53,4,0),"Prix inconnu")</f>
        <v>120</v>
      </c>
      <c r="G23" s="83"/>
      <c r="H23" s="84">
        <f t="shared" ref="H23:I23" si="11">IF(ISNUMBER($F23), $F23,0)</f>
        <v>120</v>
      </c>
      <c r="I23" s="84">
        <f t="shared" si="11"/>
        <v>120</v>
      </c>
    </row>
    <row r="24" ht="19.5" customHeight="1">
      <c r="C24" s="87"/>
      <c r="D24" s="8"/>
      <c r="E24" s="87"/>
      <c r="F24" s="88" t="s">
        <v>323</v>
      </c>
      <c r="G24" s="89">
        <f>SUM(I13:I23)</f>
        <v>1554</v>
      </c>
      <c r="H24" s="90">
        <f>IF(G24&gt;100,10%*G24,0)</f>
        <v>155.4</v>
      </c>
      <c r="I24" s="89">
        <f>G24-H24</f>
        <v>1398.6</v>
      </c>
    </row>
    <row r="25" ht="19.5" customHeight="1">
      <c r="C25" s="87"/>
      <c r="D25" s="8"/>
      <c r="E25" s="87"/>
      <c r="F25" s="88" t="s">
        <v>324</v>
      </c>
      <c r="G25" s="91">
        <f>I24*8.5%</f>
        <v>118.881</v>
      </c>
      <c r="H25" s="92"/>
      <c r="I25" s="91"/>
    </row>
    <row r="26" ht="21.0" customHeight="1">
      <c r="C26" s="8"/>
      <c r="D26" s="8"/>
      <c r="E26" s="8"/>
      <c r="F26" s="88" t="s">
        <v>325</v>
      </c>
      <c r="G26" s="91">
        <f>SUM(G24:G25)</f>
        <v>1672.881</v>
      </c>
      <c r="H26" s="93"/>
      <c r="I26" s="94"/>
    </row>
    <row r="27" ht="12.75" customHeight="1"/>
    <row r="28" ht="12.75" customHeight="1">
      <c r="C28" s="95" t="s">
        <v>326</v>
      </c>
    </row>
    <row r="29" ht="12.75" customHeight="1">
      <c r="C29" s="95" t="s">
        <v>327</v>
      </c>
    </row>
    <row r="30" ht="12.75" customHeight="1"/>
    <row r="31" ht="12.75" customHeight="1">
      <c r="C31" s="96" t="s">
        <v>328</v>
      </c>
    </row>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C1:D1"/>
    <mergeCell ref="K3:O11"/>
    <mergeCell ref="F4:G4"/>
    <mergeCell ref="C9:I9"/>
    <mergeCell ref="G10:I10"/>
    <mergeCell ref="C31:I33"/>
    <mergeCell ref="F5:G5"/>
    <mergeCell ref="F6:G6"/>
  </mergeCells>
  <printOptions/>
  <pageMargins bottom="1.025" footer="0.0" header="0.0" left="0.7875" right="0.7875" top="1.025"/>
  <pageSetup paperSize="9" orientation="portrait"/>
  <headerFooter>
    <oddHeader>&amp;C&amp;A</oddHeader>
    <oddFooter>&amp;CPage &amp;P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63"/>
    <col customWidth="1" min="2" max="2" width="8.0"/>
    <col customWidth="1" min="3" max="3" width="44.0"/>
    <col customWidth="1" min="4" max="4" width="15.0"/>
    <col customWidth="1" min="5" max="5" width="13.13"/>
    <col customWidth="1" min="6" max="6" width="11.0"/>
    <col customWidth="1" min="7" max="26" width="11.5"/>
  </cols>
  <sheetData>
    <row r="1" ht="42.0" customHeight="1">
      <c r="B1" s="97" t="s">
        <v>329</v>
      </c>
      <c r="C1" s="6"/>
      <c r="D1" s="6"/>
      <c r="E1" s="7"/>
    </row>
    <row r="2" ht="12.75" customHeight="1">
      <c r="B2" s="98"/>
    </row>
    <row r="3" ht="12.75" customHeight="1">
      <c r="B3" s="99" t="s">
        <v>330</v>
      </c>
      <c r="C3" s="99" t="s">
        <v>317</v>
      </c>
      <c r="D3" s="100" t="s">
        <v>331</v>
      </c>
      <c r="E3" s="100" t="s">
        <v>332</v>
      </c>
    </row>
    <row r="4" ht="12.75" customHeight="1">
      <c r="B4" s="101">
        <v>1.0</v>
      </c>
      <c r="C4" s="4" t="s">
        <v>333</v>
      </c>
      <c r="D4" s="101">
        <v>19.0</v>
      </c>
      <c r="E4" s="102">
        <v>8.0</v>
      </c>
    </row>
    <row r="5" ht="12.75" customHeight="1">
      <c r="B5" s="101">
        <v>2.0</v>
      </c>
      <c r="C5" s="4" t="s">
        <v>334</v>
      </c>
      <c r="D5" s="101">
        <v>13.0</v>
      </c>
      <c r="E5" s="102">
        <v>15.0</v>
      </c>
    </row>
    <row r="6" ht="12.75" customHeight="1">
      <c r="B6" s="101">
        <v>3.0</v>
      </c>
      <c r="C6" s="4" t="s">
        <v>335</v>
      </c>
      <c r="D6" s="101">
        <v>90.0</v>
      </c>
      <c r="E6" s="102">
        <v>16.0</v>
      </c>
    </row>
    <row r="7" ht="12.75" customHeight="1">
      <c r="B7" s="101">
        <v>4.0</v>
      </c>
      <c r="C7" s="4" t="s">
        <v>336</v>
      </c>
      <c r="D7" s="101">
        <v>56.0</v>
      </c>
      <c r="E7" s="102">
        <v>18.0</v>
      </c>
    </row>
    <row r="8" ht="12.75" customHeight="1">
      <c r="B8" s="101">
        <v>5.0</v>
      </c>
      <c r="C8" s="4" t="s">
        <v>337</v>
      </c>
      <c r="D8" s="101">
        <v>34.0</v>
      </c>
      <c r="E8" s="102">
        <v>52.0</v>
      </c>
    </row>
    <row r="9" ht="12.75" customHeight="1">
      <c r="B9" s="101">
        <v>6.0</v>
      </c>
      <c r="C9" s="4" t="s">
        <v>338</v>
      </c>
      <c r="D9" s="101">
        <v>23.0</v>
      </c>
      <c r="E9" s="102">
        <v>54.0</v>
      </c>
    </row>
    <row r="10" ht="12.75" customHeight="1">
      <c r="B10" s="101">
        <v>7.0</v>
      </c>
      <c r="C10" s="4" t="s">
        <v>339</v>
      </c>
      <c r="D10" s="101">
        <v>56.0</v>
      </c>
      <c r="E10" s="102">
        <v>60.0</v>
      </c>
    </row>
    <row r="11" ht="12.75" customHeight="1">
      <c r="B11" s="101">
        <v>8.0</v>
      </c>
      <c r="C11" s="4" t="s">
        <v>340</v>
      </c>
      <c r="D11" s="101">
        <v>45.0</v>
      </c>
      <c r="E11" s="102">
        <v>358.0</v>
      </c>
    </row>
    <row r="12" ht="12.75" customHeight="1">
      <c r="B12" s="101">
        <v>9.0</v>
      </c>
      <c r="C12" s="4" t="s">
        <v>341</v>
      </c>
      <c r="D12" s="101">
        <v>23.0</v>
      </c>
      <c r="E12" s="102">
        <v>560.0</v>
      </c>
    </row>
    <row r="13" ht="12.75" customHeight="1">
      <c r="B13" s="101">
        <v>10.0</v>
      </c>
      <c r="C13" s="4" t="s">
        <v>342</v>
      </c>
      <c r="D13" s="101">
        <v>12.0</v>
      </c>
      <c r="E13" s="102">
        <v>650.0</v>
      </c>
    </row>
    <row r="14" ht="12.75" customHeight="1">
      <c r="B14" s="101">
        <v>11.0</v>
      </c>
      <c r="C14" s="4" t="s">
        <v>343</v>
      </c>
      <c r="D14" s="101">
        <v>56.0</v>
      </c>
      <c r="E14" s="102">
        <v>120.0</v>
      </c>
    </row>
    <row r="15" ht="12.75" customHeight="1">
      <c r="B15" s="101">
        <v>12.0</v>
      </c>
      <c r="C15" s="4" t="s">
        <v>344</v>
      </c>
      <c r="D15" s="101">
        <v>89.0</v>
      </c>
      <c r="E15" s="102">
        <v>150.0</v>
      </c>
    </row>
    <row r="16" ht="12.75" customHeight="1">
      <c r="B16" s="101">
        <v>13.0</v>
      </c>
      <c r="C16" s="4" t="s">
        <v>345</v>
      </c>
      <c r="D16" s="101">
        <v>65.0</v>
      </c>
      <c r="E16" s="102">
        <v>180.0</v>
      </c>
    </row>
    <row r="17" ht="12.75" customHeight="1">
      <c r="B17" s="101">
        <v>14.0</v>
      </c>
      <c r="C17" s="4" t="s">
        <v>346</v>
      </c>
      <c r="D17" s="101">
        <v>45.0</v>
      </c>
      <c r="E17" s="102">
        <v>45.0</v>
      </c>
    </row>
    <row r="18" ht="12.75" customHeight="1">
      <c r="B18" s="101">
        <v>15.0</v>
      </c>
      <c r="C18" s="4" t="s">
        <v>347</v>
      </c>
      <c r="D18" s="101">
        <v>34.0</v>
      </c>
      <c r="E18" s="102">
        <v>80.0</v>
      </c>
    </row>
    <row r="19" ht="12.75" customHeight="1">
      <c r="B19" s="101">
        <v>16.0</v>
      </c>
      <c r="C19" s="4" t="s">
        <v>348</v>
      </c>
      <c r="D19" s="101">
        <v>23.0</v>
      </c>
      <c r="E19" s="102">
        <v>130.0</v>
      </c>
    </row>
    <row r="20" ht="12.75" customHeight="1">
      <c r="B20" s="101">
        <v>17.0</v>
      </c>
      <c r="C20" s="4" t="s">
        <v>349</v>
      </c>
      <c r="D20" s="101">
        <v>45.0</v>
      </c>
      <c r="E20" s="102">
        <v>89.0</v>
      </c>
    </row>
    <row r="21" ht="12.75" customHeight="1">
      <c r="B21" s="101">
        <v>18.0</v>
      </c>
      <c r="C21" s="4" t="s">
        <v>350</v>
      </c>
      <c r="D21" s="101">
        <v>12.0</v>
      </c>
      <c r="E21" s="102">
        <v>120.0</v>
      </c>
    </row>
    <row r="22" ht="12.75" customHeight="1">
      <c r="B22" s="101">
        <v>19.0</v>
      </c>
      <c r="C22" s="4" t="s">
        <v>351</v>
      </c>
      <c r="D22" s="101">
        <v>54.0</v>
      </c>
      <c r="E22" s="102">
        <v>150.0</v>
      </c>
    </row>
    <row r="23" ht="12.75" customHeight="1">
      <c r="B23" s="101">
        <v>20.0</v>
      </c>
      <c r="C23" s="4" t="s">
        <v>352</v>
      </c>
      <c r="D23" s="101">
        <v>43.0</v>
      </c>
      <c r="E23" s="102">
        <v>190.0</v>
      </c>
    </row>
    <row r="24" ht="12.75" customHeight="1">
      <c r="B24" s="101">
        <v>21.0</v>
      </c>
      <c r="C24" s="4" t="s">
        <v>353</v>
      </c>
      <c r="D24" s="101">
        <v>32.0</v>
      </c>
      <c r="E24" s="102">
        <v>50.0</v>
      </c>
    </row>
    <row r="25" ht="12.75" customHeight="1">
      <c r="B25" s="101">
        <v>22.0</v>
      </c>
      <c r="C25" s="4" t="s">
        <v>354</v>
      </c>
      <c r="D25" s="101">
        <v>21.0</v>
      </c>
      <c r="E25" s="102">
        <v>90.0</v>
      </c>
    </row>
    <row r="26" ht="12.75" customHeight="1">
      <c r="B26" s="101">
        <v>23.0</v>
      </c>
      <c r="C26" s="4" t="s">
        <v>355</v>
      </c>
      <c r="D26" s="101">
        <v>5.0</v>
      </c>
      <c r="E26" s="102">
        <v>110.0</v>
      </c>
    </row>
    <row r="27" ht="12.75" customHeight="1">
      <c r="B27" s="101">
        <v>24.0</v>
      </c>
      <c r="C27" s="4" t="s">
        <v>356</v>
      </c>
      <c r="D27" s="101">
        <v>8.0</v>
      </c>
      <c r="E27" s="102">
        <v>150.0</v>
      </c>
    </row>
    <row r="28" ht="12.75" customHeight="1">
      <c r="B28" s="101">
        <v>25.0</v>
      </c>
      <c r="C28" s="4" t="s">
        <v>357</v>
      </c>
      <c r="D28" s="101">
        <v>9.0</v>
      </c>
      <c r="E28" s="102">
        <v>60.0</v>
      </c>
    </row>
    <row r="29" ht="12.75" customHeight="1">
      <c r="B29" s="101">
        <v>26.0</v>
      </c>
      <c r="C29" s="4" t="s">
        <v>358</v>
      </c>
      <c r="D29" s="101">
        <v>6.0</v>
      </c>
      <c r="E29" s="102">
        <v>100.0</v>
      </c>
    </row>
    <row r="30" ht="12.75" customHeight="1">
      <c r="B30" s="101">
        <v>27.0</v>
      </c>
      <c r="C30" s="4" t="s">
        <v>359</v>
      </c>
      <c r="D30" s="101">
        <v>6.0</v>
      </c>
      <c r="E30" s="102">
        <v>120.0</v>
      </c>
    </row>
    <row r="31" ht="12.75" customHeight="1">
      <c r="B31" s="101">
        <v>28.0</v>
      </c>
      <c r="C31" s="4" t="s">
        <v>360</v>
      </c>
      <c r="D31" s="101">
        <v>3.0</v>
      </c>
      <c r="E31" s="102">
        <v>160.0</v>
      </c>
    </row>
    <row r="32" ht="12.75" customHeight="1">
      <c r="B32" s="101">
        <v>29.0</v>
      </c>
      <c r="C32" s="4" t="s">
        <v>361</v>
      </c>
      <c r="D32" s="101">
        <v>34.0</v>
      </c>
      <c r="E32" s="102">
        <v>56.0</v>
      </c>
    </row>
    <row r="33" ht="12.75" customHeight="1">
      <c r="B33" s="101">
        <v>30.0</v>
      </c>
      <c r="C33" s="4" t="s">
        <v>362</v>
      </c>
      <c r="D33" s="101">
        <v>67.0</v>
      </c>
      <c r="E33" s="102">
        <v>70.0</v>
      </c>
    </row>
    <row r="34" ht="12.75" customHeight="1">
      <c r="B34" s="101">
        <v>31.0</v>
      </c>
      <c r="C34" s="4" t="s">
        <v>363</v>
      </c>
      <c r="D34" s="101">
        <v>8.0</v>
      </c>
      <c r="E34" s="102">
        <v>34.0</v>
      </c>
    </row>
    <row r="35" ht="12.75" customHeight="1">
      <c r="B35" s="101">
        <v>32.0</v>
      </c>
      <c r="C35" s="4" t="s">
        <v>364</v>
      </c>
      <c r="D35" s="101">
        <v>9.0</v>
      </c>
      <c r="E35" s="102">
        <v>24.0</v>
      </c>
    </row>
    <row r="36" ht="12.75" customHeight="1">
      <c r="B36" s="101">
        <v>33.0</v>
      </c>
      <c r="C36" s="4" t="s">
        <v>365</v>
      </c>
      <c r="D36" s="101">
        <v>5.0</v>
      </c>
      <c r="E36" s="102">
        <v>67.0</v>
      </c>
    </row>
    <row r="37" ht="12.75" customHeight="1">
      <c r="B37" s="101">
        <v>34.0</v>
      </c>
      <c r="C37" s="4" t="s">
        <v>366</v>
      </c>
      <c r="D37" s="101">
        <v>3.0</v>
      </c>
      <c r="E37" s="102">
        <v>90.0</v>
      </c>
    </row>
    <row r="38" ht="12.75" customHeight="1">
      <c r="B38" s="101">
        <v>35.0</v>
      </c>
      <c r="C38" s="4" t="s">
        <v>367</v>
      </c>
      <c r="D38" s="101">
        <v>2.0</v>
      </c>
      <c r="E38" s="102">
        <v>99.0</v>
      </c>
    </row>
    <row r="39" ht="12.75" customHeight="1">
      <c r="B39" s="101">
        <v>36.0</v>
      </c>
      <c r="C39" s="4" t="s">
        <v>368</v>
      </c>
      <c r="D39" s="101">
        <v>5.0</v>
      </c>
      <c r="E39" s="102">
        <v>20.0</v>
      </c>
    </row>
    <row r="40" ht="12.75" customHeight="1">
      <c r="B40" s="101">
        <v>37.0</v>
      </c>
      <c r="C40" s="4" t="s">
        <v>369</v>
      </c>
      <c r="D40" s="101">
        <v>7.0</v>
      </c>
      <c r="E40" s="102">
        <v>12.0</v>
      </c>
    </row>
    <row r="41" ht="12.75" customHeight="1">
      <c r="B41" s="101">
        <v>38.0</v>
      </c>
      <c r="C41" s="4" t="s">
        <v>370</v>
      </c>
      <c r="D41" s="101">
        <v>8.0</v>
      </c>
      <c r="E41" s="102">
        <v>16.0</v>
      </c>
    </row>
    <row r="42" ht="12.75" customHeight="1">
      <c r="B42" s="101">
        <v>39.0</v>
      </c>
      <c r="C42" s="4" t="s">
        <v>371</v>
      </c>
      <c r="D42" s="101">
        <v>9.0</v>
      </c>
      <c r="E42" s="102">
        <v>19.0</v>
      </c>
    </row>
    <row r="43" ht="12.75" customHeight="1">
      <c r="B43" s="101">
        <v>40.0</v>
      </c>
      <c r="C43" s="4" t="s">
        <v>372</v>
      </c>
      <c r="D43" s="101">
        <v>34.0</v>
      </c>
      <c r="E43" s="102">
        <v>150.0</v>
      </c>
    </row>
    <row r="44" ht="12.75" customHeight="1">
      <c r="B44" s="101">
        <v>41.0</v>
      </c>
      <c r="C44" s="4" t="s">
        <v>373</v>
      </c>
      <c r="D44" s="101">
        <v>56.0</v>
      </c>
      <c r="E44" s="102">
        <v>170.0</v>
      </c>
    </row>
    <row r="45" ht="12.75" customHeight="1">
      <c r="B45" s="101">
        <v>42.0</v>
      </c>
      <c r="C45" s="4" t="s">
        <v>374</v>
      </c>
      <c r="D45" s="101">
        <v>23.0</v>
      </c>
      <c r="E45" s="102">
        <v>190.0</v>
      </c>
    </row>
    <row r="46" ht="12.75" customHeight="1">
      <c r="B46" s="101">
        <v>43.0</v>
      </c>
      <c r="C46" s="4" t="s">
        <v>375</v>
      </c>
      <c r="D46" s="101">
        <v>12.0</v>
      </c>
      <c r="E46" s="102">
        <v>59.0</v>
      </c>
    </row>
    <row r="47" ht="12.75" customHeight="1">
      <c r="B47" s="101">
        <v>44.0</v>
      </c>
      <c r="C47" s="4" t="s">
        <v>376</v>
      </c>
      <c r="D47" s="101">
        <v>3.0</v>
      </c>
      <c r="E47" s="102">
        <v>90.0</v>
      </c>
    </row>
    <row r="48" ht="12.75" customHeight="1">
      <c r="B48" s="101">
        <v>45.0</v>
      </c>
      <c r="C48" s="4" t="s">
        <v>377</v>
      </c>
      <c r="D48" s="101">
        <v>23.0</v>
      </c>
      <c r="E48" s="102">
        <v>140.0</v>
      </c>
    </row>
    <row r="49" ht="12.75" customHeight="1">
      <c r="B49" s="101">
        <v>46.0</v>
      </c>
      <c r="C49" s="4" t="s">
        <v>378</v>
      </c>
      <c r="D49" s="101">
        <v>67.0</v>
      </c>
      <c r="E49" s="102">
        <v>45.0</v>
      </c>
    </row>
    <row r="50" ht="12.75" customHeight="1">
      <c r="B50" s="101">
        <v>47.0</v>
      </c>
      <c r="C50" s="4" t="s">
        <v>379</v>
      </c>
      <c r="D50" s="101">
        <v>7.0</v>
      </c>
      <c r="E50" s="102">
        <v>34.0</v>
      </c>
    </row>
    <row r="51" ht="12.75" customHeight="1">
      <c r="B51" s="101">
        <v>48.0</v>
      </c>
      <c r="C51" s="4" t="s">
        <v>380</v>
      </c>
      <c r="D51" s="101">
        <v>8.0</v>
      </c>
      <c r="E51" s="102">
        <v>56.0</v>
      </c>
    </row>
    <row r="52" ht="12.75" customHeight="1">
      <c r="B52" s="101">
        <v>49.0</v>
      </c>
      <c r="C52" s="4" t="s">
        <v>381</v>
      </c>
      <c r="D52" s="101">
        <v>90.0</v>
      </c>
      <c r="E52" s="102">
        <v>80.0</v>
      </c>
    </row>
    <row r="53" ht="12.75" customHeight="1">
      <c r="B53" s="101">
        <v>50.0</v>
      </c>
      <c r="C53" s="4" t="s">
        <v>382</v>
      </c>
      <c r="D53" s="101">
        <v>45.0</v>
      </c>
      <c r="E53" s="102">
        <v>90.0</v>
      </c>
    </row>
    <row r="54" ht="12.75" customHeight="1">
      <c r="B54" s="98"/>
    </row>
    <row r="55" ht="12.75" customHeight="1">
      <c r="B55" s="98"/>
    </row>
    <row r="56" ht="12.75" customHeight="1">
      <c r="B56" s="98"/>
    </row>
    <row r="57" ht="12.75" customHeight="1">
      <c r="B57" s="98"/>
    </row>
    <row r="58" ht="12.75" customHeight="1">
      <c r="B58" s="98"/>
    </row>
    <row r="59" ht="12.75" customHeight="1">
      <c r="B59" s="98"/>
    </row>
    <row r="60" ht="12.75" customHeight="1">
      <c r="B60" s="98"/>
    </row>
    <row r="61" ht="12.75" customHeight="1">
      <c r="B61" s="98"/>
    </row>
    <row r="62" ht="12.75" customHeight="1">
      <c r="B62" s="98"/>
    </row>
    <row r="63" ht="12.75" customHeight="1">
      <c r="B63" s="98"/>
    </row>
    <row r="64" ht="12.75" customHeight="1">
      <c r="B64" s="98"/>
    </row>
    <row r="65" ht="12.75" customHeight="1">
      <c r="B65" s="98"/>
    </row>
    <row r="66" ht="12.75" customHeight="1">
      <c r="B66" s="98"/>
    </row>
    <row r="67" ht="12.75" customHeight="1">
      <c r="B67" s="98"/>
    </row>
    <row r="68" ht="12.75" customHeight="1">
      <c r="B68" s="98"/>
    </row>
    <row r="69" ht="12.75" customHeight="1">
      <c r="B69" s="98"/>
    </row>
    <row r="70" ht="12.75" customHeight="1">
      <c r="B70" s="98"/>
    </row>
    <row r="71" ht="12.75" customHeight="1">
      <c r="B71" s="98"/>
    </row>
    <row r="72" ht="12.75" customHeight="1">
      <c r="B72" s="98"/>
    </row>
    <row r="73" ht="12.75" customHeight="1">
      <c r="B73" s="98"/>
    </row>
    <row r="74" ht="12.75" customHeight="1">
      <c r="B74" s="98"/>
    </row>
    <row r="75" ht="12.75" customHeight="1">
      <c r="B75" s="98"/>
    </row>
    <row r="76" ht="12.75" customHeight="1">
      <c r="B76" s="98"/>
    </row>
    <row r="77" ht="12.75" customHeight="1">
      <c r="B77" s="98"/>
    </row>
    <row r="78" ht="12.75" customHeight="1">
      <c r="B78" s="98"/>
    </row>
    <row r="79" ht="12.75" customHeight="1">
      <c r="B79" s="98"/>
    </row>
    <row r="80" ht="12.75" customHeight="1">
      <c r="B80" s="98"/>
    </row>
    <row r="81" ht="12.75" customHeight="1">
      <c r="B81" s="98"/>
    </row>
    <row r="82" ht="12.75" customHeight="1">
      <c r="B82" s="98"/>
    </row>
    <row r="83" ht="12.75" customHeight="1">
      <c r="B83" s="98"/>
    </row>
    <row r="84" ht="12.75" customHeight="1">
      <c r="B84" s="98"/>
    </row>
    <row r="85" ht="12.75" customHeight="1">
      <c r="B85" s="98"/>
    </row>
    <row r="86" ht="12.75" customHeight="1">
      <c r="B86" s="98"/>
    </row>
    <row r="87" ht="12.75" customHeight="1">
      <c r="B87" s="98"/>
    </row>
    <row r="88" ht="12.75" customHeight="1">
      <c r="B88" s="98"/>
    </row>
    <row r="89" ht="12.75" customHeight="1">
      <c r="B89" s="98"/>
    </row>
    <row r="90" ht="12.75" customHeight="1">
      <c r="B90" s="98"/>
    </row>
    <row r="91" ht="12.75" customHeight="1">
      <c r="B91" s="98"/>
    </row>
    <row r="92" ht="12.75" customHeight="1">
      <c r="B92" s="98"/>
    </row>
    <row r="93" ht="12.75" customHeight="1">
      <c r="B93" s="98"/>
    </row>
    <row r="94" ht="12.75" customHeight="1">
      <c r="B94" s="98"/>
    </row>
    <row r="95" ht="12.75" customHeight="1">
      <c r="B95" s="98"/>
    </row>
    <row r="96" ht="12.75" customHeight="1">
      <c r="B96" s="98"/>
    </row>
    <row r="97" ht="12.75" customHeight="1">
      <c r="B97" s="98"/>
    </row>
    <row r="98" ht="12.75" customHeight="1">
      <c r="B98" s="98"/>
    </row>
    <row r="99" ht="12.75" customHeight="1">
      <c r="B99" s="98"/>
    </row>
    <row r="100" ht="12.75" customHeight="1">
      <c r="B100" s="98"/>
    </row>
    <row r="101" ht="12.75" customHeight="1">
      <c r="B101" s="98"/>
    </row>
    <row r="102" ht="12.75" customHeight="1">
      <c r="B102" s="98"/>
    </row>
    <row r="103" ht="12.75" customHeight="1">
      <c r="B103" s="98"/>
    </row>
    <row r="104" ht="12.75" customHeight="1">
      <c r="B104" s="98"/>
    </row>
    <row r="105" ht="12.75" customHeight="1">
      <c r="B105" s="98"/>
    </row>
    <row r="106" ht="12.75" customHeight="1">
      <c r="B106" s="98"/>
    </row>
    <row r="107" ht="12.75" customHeight="1">
      <c r="B107" s="98"/>
    </row>
    <row r="108" ht="12.75" customHeight="1">
      <c r="B108" s="98"/>
    </row>
    <row r="109" ht="12.75" customHeight="1">
      <c r="B109" s="98"/>
    </row>
    <row r="110" ht="12.75" customHeight="1">
      <c r="B110" s="98"/>
    </row>
    <row r="111" ht="12.75" customHeight="1">
      <c r="B111" s="98"/>
    </row>
    <row r="112" ht="12.75" customHeight="1">
      <c r="B112" s="98"/>
    </row>
    <row r="113" ht="12.75" customHeight="1">
      <c r="B113" s="98"/>
    </row>
    <row r="114" ht="12.75" customHeight="1">
      <c r="B114" s="98"/>
    </row>
    <row r="115" ht="12.75" customHeight="1">
      <c r="B115" s="98"/>
    </row>
    <row r="116" ht="12.75" customHeight="1">
      <c r="B116" s="98"/>
    </row>
    <row r="117" ht="12.75" customHeight="1">
      <c r="B117" s="98"/>
    </row>
    <row r="118" ht="12.75" customHeight="1">
      <c r="B118" s="98"/>
    </row>
    <row r="119" ht="12.75" customHeight="1">
      <c r="B119" s="98"/>
    </row>
    <row r="120" ht="12.75" customHeight="1">
      <c r="B120" s="98"/>
    </row>
    <row r="121" ht="12.75" customHeight="1">
      <c r="B121" s="98"/>
    </row>
    <row r="122" ht="12.75" customHeight="1">
      <c r="B122" s="98"/>
    </row>
    <row r="123" ht="12.75" customHeight="1">
      <c r="B123" s="98"/>
    </row>
    <row r="124" ht="12.75" customHeight="1">
      <c r="B124" s="98"/>
    </row>
    <row r="125" ht="12.75" customHeight="1">
      <c r="B125" s="98"/>
    </row>
    <row r="126" ht="12.75" customHeight="1">
      <c r="B126" s="98"/>
    </row>
    <row r="127" ht="12.75" customHeight="1">
      <c r="B127" s="98"/>
    </row>
    <row r="128" ht="12.75" customHeight="1">
      <c r="B128" s="98"/>
    </row>
    <row r="129" ht="12.75" customHeight="1">
      <c r="B129" s="98"/>
    </row>
    <row r="130" ht="12.75" customHeight="1">
      <c r="B130" s="98"/>
    </row>
    <row r="131" ht="12.75" customHeight="1">
      <c r="B131" s="98"/>
    </row>
    <row r="132" ht="12.75" customHeight="1">
      <c r="B132" s="98"/>
    </row>
    <row r="133" ht="12.75" customHeight="1">
      <c r="B133" s="98"/>
    </row>
    <row r="134" ht="12.75" customHeight="1">
      <c r="B134" s="98"/>
    </row>
    <row r="135" ht="12.75" customHeight="1">
      <c r="B135" s="98"/>
    </row>
    <row r="136" ht="12.75" customHeight="1">
      <c r="B136" s="98"/>
    </row>
    <row r="137" ht="12.75" customHeight="1">
      <c r="B137" s="98"/>
    </row>
    <row r="138" ht="12.75" customHeight="1">
      <c r="B138" s="98"/>
    </row>
    <row r="139" ht="12.75" customHeight="1">
      <c r="B139" s="98"/>
    </row>
    <row r="140" ht="12.75" customHeight="1">
      <c r="B140" s="98"/>
    </row>
    <row r="141" ht="12.75" customHeight="1">
      <c r="B141" s="98"/>
    </row>
    <row r="142" ht="12.75" customHeight="1">
      <c r="B142" s="98"/>
    </row>
    <row r="143" ht="12.75" customHeight="1">
      <c r="B143" s="98"/>
    </row>
    <row r="144" ht="12.75" customHeight="1">
      <c r="B144" s="98"/>
    </row>
    <row r="145" ht="12.75" customHeight="1">
      <c r="B145" s="98"/>
    </row>
    <row r="146" ht="12.75" customHeight="1">
      <c r="B146" s="98"/>
    </row>
    <row r="147" ht="12.75" customHeight="1">
      <c r="B147" s="98"/>
    </row>
    <row r="148" ht="12.75" customHeight="1">
      <c r="B148" s="98"/>
    </row>
    <row r="149" ht="12.75" customHeight="1">
      <c r="B149" s="98"/>
    </row>
    <row r="150" ht="12.75" customHeight="1">
      <c r="B150" s="98"/>
    </row>
    <row r="151" ht="12.75" customHeight="1">
      <c r="B151" s="98"/>
    </row>
    <row r="152" ht="12.75" customHeight="1">
      <c r="B152" s="98"/>
    </row>
    <row r="153" ht="12.75" customHeight="1">
      <c r="B153" s="98"/>
    </row>
    <row r="154" ht="12.75" customHeight="1">
      <c r="B154" s="98"/>
    </row>
    <row r="155" ht="12.75" customHeight="1">
      <c r="B155" s="98"/>
    </row>
    <row r="156" ht="12.75" customHeight="1">
      <c r="B156" s="98"/>
    </row>
    <row r="157" ht="12.75" customHeight="1">
      <c r="B157" s="98"/>
    </row>
    <row r="158" ht="12.75" customHeight="1">
      <c r="B158" s="98"/>
    </row>
    <row r="159" ht="12.75" customHeight="1">
      <c r="B159" s="98"/>
    </row>
    <row r="160" ht="12.75" customHeight="1">
      <c r="B160" s="98"/>
    </row>
    <row r="161" ht="12.75" customHeight="1">
      <c r="B161" s="98"/>
    </row>
    <row r="162" ht="12.75" customHeight="1">
      <c r="B162" s="98"/>
    </row>
    <row r="163" ht="12.75" customHeight="1">
      <c r="B163" s="98"/>
    </row>
    <row r="164" ht="12.75" customHeight="1">
      <c r="B164" s="98"/>
    </row>
    <row r="165" ht="12.75" customHeight="1">
      <c r="B165" s="98"/>
    </row>
    <row r="166" ht="12.75" customHeight="1">
      <c r="B166" s="98"/>
    </row>
    <row r="167" ht="12.75" customHeight="1">
      <c r="B167" s="98"/>
    </row>
    <row r="168" ht="12.75" customHeight="1">
      <c r="B168" s="98"/>
    </row>
    <row r="169" ht="12.75" customHeight="1">
      <c r="B169" s="98"/>
    </row>
    <row r="170" ht="12.75" customHeight="1">
      <c r="B170" s="98"/>
    </row>
    <row r="171" ht="12.75" customHeight="1">
      <c r="B171" s="98"/>
    </row>
    <row r="172" ht="12.75" customHeight="1">
      <c r="B172" s="98"/>
    </row>
    <row r="173" ht="12.75" customHeight="1">
      <c r="B173" s="98"/>
    </row>
    <row r="174" ht="12.75" customHeight="1">
      <c r="B174" s="98"/>
    </row>
    <row r="175" ht="12.75" customHeight="1">
      <c r="B175" s="98"/>
    </row>
    <row r="176" ht="12.75" customHeight="1">
      <c r="B176" s="98"/>
    </row>
    <row r="177" ht="12.75" customHeight="1">
      <c r="B177" s="98"/>
    </row>
    <row r="178" ht="12.75" customHeight="1">
      <c r="B178" s="98"/>
    </row>
    <row r="179" ht="12.75" customHeight="1">
      <c r="B179" s="98"/>
    </row>
    <row r="180" ht="12.75" customHeight="1">
      <c r="B180" s="98"/>
    </row>
    <row r="181" ht="12.75" customHeight="1">
      <c r="B181" s="98"/>
    </row>
    <row r="182" ht="12.75" customHeight="1">
      <c r="B182" s="98"/>
    </row>
    <row r="183" ht="12.75" customHeight="1">
      <c r="B183" s="98"/>
    </row>
    <row r="184" ht="12.75" customHeight="1">
      <c r="B184" s="98"/>
    </row>
    <row r="185" ht="12.75" customHeight="1">
      <c r="B185" s="98"/>
    </row>
    <row r="186" ht="12.75" customHeight="1">
      <c r="B186" s="98"/>
    </row>
    <row r="187" ht="12.75" customHeight="1">
      <c r="B187" s="98"/>
    </row>
    <row r="188" ht="12.75" customHeight="1">
      <c r="B188" s="98"/>
    </row>
    <row r="189" ht="12.75" customHeight="1">
      <c r="B189" s="98"/>
    </row>
    <row r="190" ht="12.75" customHeight="1">
      <c r="B190" s="98"/>
    </row>
    <row r="191" ht="12.75" customHeight="1">
      <c r="B191" s="98"/>
    </row>
    <row r="192" ht="12.75" customHeight="1">
      <c r="B192" s="98"/>
    </row>
    <row r="193" ht="12.75" customHeight="1">
      <c r="B193" s="98"/>
    </row>
    <row r="194" ht="12.75" customHeight="1">
      <c r="B194" s="98"/>
    </row>
    <row r="195" ht="12.75" customHeight="1">
      <c r="B195" s="98"/>
    </row>
    <row r="196" ht="12.75" customHeight="1">
      <c r="B196" s="98"/>
    </row>
    <row r="197" ht="12.75" customHeight="1">
      <c r="B197" s="98"/>
    </row>
    <row r="198" ht="12.75" customHeight="1">
      <c r="B198" s="98"/>
    </row>
    <row r="199" ht="12.75" customHeight="1">
      <c r="B199" s="98"/>
    </row>
    <row r="200" ht="12.75" customHeight="1">
      <c r="B200" s="98"/>
    </row>
    <row r="201" ht="12.75" customHeight="1">
      <c r="B201" s="98"/>
    </row>
    <row r="202" ht="12.75" customHeight="1">
      <c r="B202" s="98"/>
    </row>
    <row r="203" ht="12.75" customHeight="1">
      <c r="B203" s="98"/>
    </row>
    <row r="204" ht="12.75" customHeight="1">
      <c r="B204" s="98"/>
    </row>
    <row r="205" ht="12.75" customHeight="1">
      <c r="B205" s="98"/>
    </row>
    <row r="206" ht="12.75" customHeight="1">
      <c r="B206" s="98"/>
    </row>
    <row r="207" ht="12.75" customHeight="1">
      <c r="B207" s="98"/>
    </row>
    <row r="208" ht="12.75" customHeight="1">
      <c r="B208" s="98"/>
    </row>
    <row r="209" ht="12.75" customHeight="1">
      <c r="B209" s="98"/>
    </row>
    <row r="210" ht="12.75" customHeight="1">
      <c r="B210" s="98"/>
    </row>
    <row r="211" ht="12.75" customHeight="1">
      <c r="B211" s="98"/>
    </row>
    <row r="212" ht="12.75" customHeight="1">
      <c r="B212" s="98"/>
    </row>
    <row r="213" ht="12.75" customHeight="1">
      <c r="B213" s="98"/>
    </row>
    <row r="214" ht="12.75" customHeight="1">
      <c r="B214" s="98"/>
    </row>
    <row r="215" ht="12.75" customHeight="1">
      <c r="B215" s="98"/>
    </row>
    <row r="216" ht="12.75" customHeight="1">
      <c r="B216" s="98"/>
    </row>
    <row r="217" ht="12.75" customHeight="1">
      <c r="B217" s="98"/>
    </row>
    <row r="218" ht="12.75" customHeight="1">
      <c r="B218" s="98"/>
    </row>
    <row r="219" ht="12.75" customHeight="1">
      <c r="B219" s="98"/>
    </row>
    <row r="220" ht="12.75" customHeight="1">
      <c r="B220" s="98"/>
    </row>
    <row r="221" ht="12.75" customHeight="1">
      <c r="B221" s="98"/>
    </row>
    <row r="222" ht="12.75" customHeight="1">
      <c r="B222" s="98"/>
    </row>
    <row r="223" ht="12.75" customHeight="1">
      <c r="B223" s="98"/>
    </row>
    <row r="224" ht="12.75" customHeight="1">
      <c r="B224" s="98"/>
    </row>
    <row r="225" ht="12.75" customHeight="1">
      <c r="B225" s="98"/>
    </row>
    <row r="226" ht="12.75" customHeight="1">
      <c r="B226" s="98"/>
    </row>
    <row r="227" ht="12.75" customHeight="1">
      <c r="B227" s="98"/>
    </row>
    <row r="228" ht="12.75" customHeight="1">
      <c r="B228" s="98"/>
    </row>
    <row r="229" ht="12.75" customHeight="1">
      <c r="B229" s="98"/>
    </row>
    <row r="230" ht="12.75" customHeight="1">
      <c r="B230" s="98"/>
    </row>
    <row r="231" ht="12.75" customHeight="1">
      <c r="B231" s="98"/>
    </row>
    <row r="232" ht="12.75" customHeight="1">
      <c r="B232" s="98"/>
    </row>
    <row r="233" ht="12.75" customHeight="1">
      <c r="B233" s="98"/>
    </row>
    <row r="234" ht="12.75" customHeight="1">
      <c r="B234" s="98"/>
    </row>
    <row r="235" ht="12.75" customHeight="1">
      <c r="B235" s="98"/>
    </row>
    <row r="236" ht="12.75" customHeight="1">
      <c r="B236" s="98"/>
    </row>
    <row r="237" ht="12.75" customHeight="1">
      <c r="B237" s="98"/>
    </row>
    <row r="238" ht="12.75" customHeight="1">
      <c r="B238" s="98"/>
    </row>
    <row r="239" ht="12.75" customHeight="1">
      <c r="B239" s="98"/>
    </row>
    <row r="240" ht="12.75" customHeight="1">
      <c r="B240" s="98"/>
    </row>
    <row r="241" ht="12.75" customHeight="1">
      <c r="B241" s="98"/>
    </row>
    <row r="242" ht="12.75" customHeight="1">
      <c r="B242" s="98"/>
    </row>
    <row r="243" ht="12.75" customHeight="1">
      <c r="B243" s="98"/>
    </row>
    <row r="244" ht="12.75" customHeight="1">
      <c r="B244" s="98"/>
    </row>
    <row r="245" ht="12.75" customHeight="1">
      <c r="B245" s="98"/>
    </row>
    <row r="246" ht="12.75" customHeight="1">
      <c r="B246" s="98"/>
    </row>
    <row r="247" ht="12.75" customHeight="1">
      <c r="B247" s="98"/>
    </row>
    <row r="248" ht="12.75" customHeight="1">
      <c r="B248" s="98"/>
    </row>
    <row r="249" ht="12.75" customHeight="1">
      <c r="B249" s="98"/>
    </row>
    <row r="250" ht="12.75" customHeight="1">
      <c r="B250" s="98"/>
    </row>
    <row r="251" ht="12.75" customHeight="1">
      <c r="B251" s="98"/>
    </row>
    <row r="252" ht="12.75" customHeight="1">
      <c r="B252" s="98"/>
    </row>
    <row r="253" ht="12.75" customHeight="1">
      <c r="B253" s="98"/>
    </row>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1:E1"/>
  </mergeCells>
  <printOptions/>
  <pageMargins bottom="1.025" footer="0.0" header="0.0" left="0.7875" right="0.7875" top="1.025"/>
  <pageSetup paperSize="9" orientation="portrait"/>
  <headerFooter>
    <oddHeader>&amp;C&amp;A</oddHeader>
    <oddFooter>&amp;CPage &amp;P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5"/>
    <col customWidth="1" min="3" max="3" width="32.13"/>
    <col customWidth="1" min="4" max="4" width="36.38"/>
    <col customWidth="1" min="5" max="5" width="28.13"/>
    <col customWidth="1" min="6" max="26" width="11.5"/>
  </cols>
  <sheetData>
    <row r="1" ht="12.75" customHeight="1"/>
    <row r="2" ht="21.0" customHeight="1">
      <c r="B2" s="103" t="s">
        <v>383</v>
      </c>
      <c r="C2" s="104"/>
      <c r="D2" s="104"/>
      <c r="E2" s="105"/>
    </row>
    <row r="3" ht="12.75" customHeight="1"/>
    <row r="4" ht="12.75" customHeight="1"/>
    <row r="5" ht="12.75" customHeight="1">
      <c r="B5" s="106" t="s">
        <v>384</v>
      </c>
      <c r="C5" s="107" t="s">
        <v>58</v>
      </c>
      <c r="D5" s="108" t="s">
        <v>385</v>
      </c>
      <c r="E5" s="107" t="s">
        <v>386</v>
      </c>
    </row>
    <row r="6" ht="12.75" customHeight="1">
      <c r="B6" s="109">
        <v>1.0</v>
      </c>
      <c r="C6" s="110" t="s">
        <v>387</v>
      </c>
      <c r="D6" s="111" t="s">
        <v>388</v>
      </c>
      <c r="E6" s="110" t="s">
        <v>389</v>
      </c>
    </row>
    <row r="7" ht="12.75" customHeight="1">
      <c r="B7" s="109">
        <v>2.0</v>
      </c>
      <c r="C7" s="110" t="s">
        <v>390</v>
      </c>
      <c r="D7" s="111" t="s">
        <v>391</v>
      </c>
      <c r="E7" s="110" t="s">
        <v>389</v>
      </c>
    </row>
    <row r="8" ht="12.75" customHeight="1">
      <c r="B8" s="109">
        <v>3.0</v>
      </c>
      <c r="C8" s="110" t="s">
        <v>392</v>
      </c>
      <c r="D8" s="111" t="s">
        <v>393</v>
      </c>
      <c r="E8" s="110" t="s">
        <v>311</v>
      </c>
    </row>
    <row r="9" ht="12.75" customHeight="1">
      <c r="B9" s="109">
        <v>4.0</v>
      </c>
      <c r="C9" s="110" t="s">
        <v>394</v>
      </c>
      <c r="D9" s="111" t="s">
        <v>395</v>
      </c>
      <c r="E9" s="110" t="s">
        <v>396</v>
      </c>
    </row>
    <row r="10" ht="12.75" customHeight="1">
      <c r="B10" s="109">
        <v>5.0</v>
      </c>
      <c r="C10" s="110" t="s">
        <v>397</v>
      </c>
      <c r="D10" s="111" t="s">
        <v>398</v>
      </c>
      <c r="E10" s="110" t="s">
        <v>311</v>
      </c>
    </row>
    <row r="11" ht="12.75" customHeight="1">
      <c r="B11" s="109">
        <v>6.0</v>
      </c>
      <c r="C11" s="110" t="s">
        <v>399</v>
      </c>
      <c r="D11" s="111" t="s">
        <v>400</v>
      </c>
      <c r="E11" s="110" t="s">
        <v>311</v>
      </c>
    </row>
    <row r="12" ht="12.75" customHeight="1">
      <c r="B12" s="109">
        <v>7.0</v>
      </c>
      <c r="C12" s="110" t="s">
        <v>401</v>
      </c>
      <c r="D12" s="111" t="s">
        <v>402</v>
      </c>
      <c r="E12" s="110" t="s">
        <v>403</v>
      </c>
    </row>
    <row r="13" ht="12.75" customHeight="1">
      <c r="B13" s="109">
        <v>8.0</v>
      </c>
      <c r="C13" s="110" t="s">
        <v>404</v>
      </c>
      <c r="D13" s="111" t="s">
        <v>405</v>
      </c>
      <c r="E13" s="110" t="s">
        <v>396</v>
      </c>
    </row>
    <row r="14" ht="12.75" customHeight="1">
      <c r="B14" s="109">
        <v>9.0</v>
      </c>
      <c r="C14" s="110" t="s">
        <v>406</v>
      </c>
      <c r="D14" s="111" t="s">
        <v>407</v>
      </c>
      <c r="E14" s="110" t="s">
        <v>396</v>
      </c>
    </row>
    <row r="15" ht="12.75" customHeight="1">
      <c r="B15" s="109">
        <v>10.0</v>
      </c>
      <c r="C15" s="110" t="s">
        <v>408</v>
      </c>
      <c r="D15" s="111" t="s">
        <v>409</v>
      </c>
      <c r="E15" s="110" t="s">
        <v>311</v>
      </c>
    </row>
    <row r="16" ht="12.75" customHeight="1">
      <c r="B16" s="109">
        <v>11.0</v>
      </c>
      <c r="C16" s="110" t="s">
        <v>410</v>
      </c>
      <c r="D16" s="111" t="s">
        <v>411</v>
      </c>
      <c r="E16" s="110" t="s">
        <v>412</v>
      </c>
    </row>
    <row r="17" ht="12.75" customHeight="1">
      <c r="B17" s="109">
        <v>12.0</v>
      </c>
      <c r="C17" s="110" t="s">
        <v>413</v>
      </c>
      <c r="D17" s="111" t="s">
        <v>414</v>
      </c>
      <c r="E17" s="110" t="s">
        <v>403</v>
      </c>
    </row>
    <row r="18" ht="12.75" customHeight="1">
      <c r="B18" s="109">
        <v>13.0</v>
      </c>
      <c r="C18" s="110" t="s">
        <v>415</v>
      </c>
      <c r="D18" s="111" t="s">
        <v>416</v>
      </c>
      <c r="E18" s="110" t="s">
        <v>417</v>
      </c>
    </row>
    <row r="19" ht="12.75" customHeight="1">
      <c r="B19" s="109">
        <v>14.0</v>
      </c>
      <c r="C19" s="110" t="s">
        <v>418</v>
      </c>
      <c r="D19" s="111" t="s">
        <v>419</v>
      </c>
      <c r="E19" s="110" t="s">
        <v>389</v>
      </c>
    </row>
    <row r="20" ht="12.75" customHeight="1">
      <c r="B20" s="109">
        <v>15.0</v>
      </c>
      <c r="C20" s="110" t="s">
        <v>420</v>
      </c>
      <c r="D20" s="111" t="s">
        <v>421</v>
      </c>
      <c r="E20" s="110" t="s">
        <v>311</v>
      </c>
    </row>
    <row r="21" ht="12.75" customHeight="1">
      <c r="B21" s="109">
        <v>16.0</v>
      </c>
      <c r="C21" s="110" t="s">
        <v>422</v>
      </c>
      <c r="D21" s="111" t="s">
        <v>423</v>
      </c>
      <c r="E21" s="110" t="s">
        <v>424</v>
      </c>
    </row>
    <row r="22" ht="12.75" customHeight="1">
      <c r="B22" s="109">
        <v>17.0</v>
      </c>
      <c r="C22" s="110" t="s">
        <v>425</v>
      </c>
      <c r="D22" s="111" t="s">
        <v>426</v>
      </c>
      <c r="E22" s="110" t="s">
        <v>412</v>
      </c>
    </row>
    <row r="23" ht="12.75" customHeight="1">
      <c r="B23" s="109">
        <v>18.0</v>
      </c>
      <c r="C23" s="110" t="s">
        <v>427</v>
      </c>
      <c r="D23" s="111" t="s">
        <v>428</v>
      </c>
      <c r="E23" s="110" t="s">
        <v>311</v>
      </c>
    </row>
    <row r="24" ht="12.75" customHeight="1">
      <c r="B24" s="109">
        <v>19.0</v>
      </c>
      <c r="C24" s="110" t="s">
        <v>429</v>
      </c>
      <c r="D24" s="111" t="s">
        <v>430</v>
      </c>
      <c r="E24" s="110" t="s">
        <v>311</v>
      </c>
    </row>
    <row r="25" ht="12.75" customHeight="1">
      <c r="B25" s="109">
        <v>20.0</v>
      </c>
      <c r="C25" s="110" t="s">
        <v>431</v>
      </c>
      <c r="D25" s="111" t="s">
        <v>432</v>
      </c>
      <c r="E25" s="110" t="s">
        <v>311</v>
      </c>
    </row>
    <row r="26" ht="12.75" customHeight="1">
      <c r="B26" s="109">
        <v>21.0</v>
      </c>
      <c r="C26" s="110" t="s">
        <v>433</v>
      </c>
      <c r="D26" s="111" t="s">
        <v>434</v>
      </c>
      <c r="E26" s="110" t="s">
        <v>311</v>
      </c>
    </row>
    <row r="27" ht="12.75" customHeight="1">
      <c r="B27" s="109">
        <v>22.0</v>
      </c>
      <c r="C27" s="110" t="s">
        <v>435</v>
      </c>
      <c r="D27" s="111" t="s">
        <v>436</v>
      </c>
      <c r="E27" s="110" t="s">
        <v>311</v>
      </c>
    </row>
    <row r="28" ht="12.75" customHeight="1">
      <c r="B28" s="109">
        <v>23.0</v>
      </c>
      <c r="C28" s="110" t="s">
        <v>437</v>
      </c>
      <c r="D28" s="111" t="s">
        <v>438</v>
      </c>
      <c r="E28" s="110" t="s">
        <v>311</v>
      </c>
    </row>
    <row r="29" ht="12.75" customHeight="1">
      <c r="B29" s="109">
        <v>24.0</v>
      </c>
      <c r="C29" s="110" t="s">
        <v>439</v>
      </c>
      <c r="D29" s="111" t="s">
        <v>440</v>
      </c>
      <c r="E29" s="110" t="s">
        <v>441</v>
      </c>
    </row>
    <row r="30" ht="12.75" customHeight="1">
      <c r="B30" s="109">
        <v>25.0</v>
      </c>
      <c r="C30" s="110" t="s">
        <v>442</v>
      </c>
      <c r="D30" s="111" t="s">
        <v>443</v>
      </c>
      <c r="E30" s="110" t="s">
        <v>396</v>
      </c>
    </row>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B2:E2"/>
  </mergeCells>
  <printOptions/>
  <pageMargins bottom="1.025" footer="0.0" header="0.0" left="0.7875" right="0.7875" top="1.025"/>
  <pageSetup paperSize="9" orientation="portrait"/>
  <headerFooter>
    <oddHeader>&amp;C&amp;A</oddHeader>
    <oddFooter>&amp;CPage &amp;P</oddFooter>
  </headerFooter>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2006-01-18T14:51:16Z</dcterms:created>
  <dc:creator>Thierry BRUGNON</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nfo 1">
    <vt:lpwstr/>
  </property>
  <property fmtid="{D5CDD505-2E9C-101B-9397-08002B2CF9AE}" pid="3" name="Info 2">
    <vt:lpwstr/>
  </property>
  <property fmtid="{D5CDD505-2E9C-101B-9397-08002B2CF9AE}" pid="4" name="Info 3">
    <vt:lpwstr/>
  </property>
  <property fmtid="{D5CDD505-2E9C-101B-9397-08002B2CF9AE}" pid="5" name="Info 4">
    <vt:lpwstr/>
  </property>
</Properties>
</file>